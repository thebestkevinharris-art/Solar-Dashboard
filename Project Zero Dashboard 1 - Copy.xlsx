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BMT NUC 3\Desktop\Solar Dashboard Scripts\"/>
    </mc:Choice>
  </mc:AlternateContent>
  <xr:revisionPtr revIDLastSave="0" documentId="13_ncr:1_{69D8A487-4611-4224-A895-3C857AAFF5E6}" xr6:coauthVersionLast="47" xr6:coauthVersionMax="47" xr10:uidLastSave="{00000000-0000-0000-0000-000000000000}"/>
  <bookViews>
    <workbookView xWindow="-120" yWindow="-120" windowWidth="29040" windowHeight="15720" xr2:uid="{850AF22D-85D1-4C73-981E-24580D680358}"/>
  </bookViews>
  <sheets>
    <sheet name="Dashboard" sheetId="1" r:id="rId1"/>
    <sheet name="Production By Date" sheetId="2" r:id="rId2"/>
    <sheet name="Consumption By Date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7" i="2" l="1"/>
  <c r="AM19" i="1"/>
  <c r="AH104" i="1"/>
  <c r="AH103" i="1"/>
  <c r="AH102" i="1"/>
  <c r="AH101" i="1"/>
  <c r="AH100" i="1"/>
  <c r="AH99" i="1"/>
  <c r="AH98" i="1"/>
  <c r="AH97" i="1"/>
  <c r="AH96" i="1"/>
  <c r="AH95" i="1"/>
  <c r="AH94" i="1"/>
  <c r="AH93" i="1"/>
  <c r="AH92" i="1"/>
  <c r="AH91" i="1"/>
  <c r="AH90" i="1"/>
  <c r="AH89" i="1"/>
  <c r="AH88" i="1"/>
  <c r="AH87" i="1"/>
  <c r="AH86" i="1"/>
  <c r="AH85" i="1"/>
  <c r="AH84" i="1"/>
  <c r="AH83" i="1"/>
  <c r="AH82" i="1"/>
  <c r="AH81" i="1"/>
  <c r="AH80" i="1"/>
  <c r="AH79" i="1"/>
  <c r="AH78" i="1"/>
  <c r="AH77" i="1"/>
  <c r="AH76" i="1"/>
  <c r="AH75" i="1"/>
  <c r="AH74" i="1"/>
  <c r="AH73" i="1"/>
  <c r="AH72" i="1"/>
  <c r="AH71" i="1"/>
  <c r="AH70" i="1"/>
  <c r="AH69" i="1"/>
  <c r="AH68" i="1"/>
  <c r="AH67" i="1"/>
  <c r="AH66" i="1"/>
  <c r="AH65" i="1"/>
  <c r="AH64" i="1"/>
  <c r="AH63" i="1"/>
  <c r="AH62" i="1"/>
  <c r="AH61" i="1"/>
  <c r="AH60" i="1"/>
  <c r="AH59" i="1"/>
  <c r="AH58" i="1"/>
  <c r="AH57" i="1"/>
  <c r="AH56" i="1"/>
  <c r="AH55" i="1"/>
  <c r="AH54" i="1"/>
  <c r="AH53" i="1"/>
  <c r="AH52" i="1"/>
  <c r="AH51" i="1"/>
  <c r="AH50" i="1"/>
  <c r="AH49" i="1"/>
  <c r="AH48" i="1"/>
  <c r="AH47" i="1"/>
  <c r="AH46" i="1"/>
  <c r="AH45" i="1"/>
  <c r="AH44" i="1"/>
  <c r="AH43" i="1"/>
  <c r="AH42" i="1"/>
  <c r="AH41" i="1"/>
  <c r="AH40" i="1"/>
  <c r="AH39" i="1"/>
  <c r="AH38" i="1"/>
  <c r="AH37" i="1"/>
  <c r="AH36" i="1"/>
  <c r="AH35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G7" i="1"/>
  <c r="AG8" i="1" s="1"/>
  <c r="AH6" i="1"/>
  <c r="AG6" i="1"/>
  <c r="AH5" i="1"/>
  <c r="AF57" i="4"/>
  <c r="AE57" i="4"/>
  <c r="AD57" i="4"/>
  <c r="AC57" i="4"/>
  <c r="AB57" i="4"/>
  <c r="AA57" i="4"/>
  <c r="Z57" i="4"/>
  <c r="Y57" i="4"/>
  <c r="X57" i="4"/>
  <c r="W57" i="4"/>
  <c r="V57" i="4"/>
  <c r="U57" i="4"/>
  <c r="T57" i="4"/>
  <c r="S57" i="4"/>
  <c r="R57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C57" i="2"/>
  <c r="D57" i="2"/>
  <c r="E57" i="2"/>
  <c r="F57" i="2"/>
  <c r="G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X57" i="2"/>
  <c r="Y57" i="2"/>
  <c r="Z57" i="2"/>
  <c r="AA57" i="2"/>
  <c r="AB57" i="2"/>
  <c r="AC57" i="2"/>
  <c r="AD57" i="2"/>
  <c r="AE57" i="2"/>
  <c r="AF57" i="2"/>
  <c r="Y12" i="1"/>
  <c r="AC12" i="1" s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9" i="1"/>
  <c r="P8" i="1"/>
  <c r="P5" i="1"/>
  <c r="AC58" i="1"/>
  <c r="AC6" i="1"/>
  <c r="AC7" i="1"/>
  <c r="AC8" i="1"/>
  <c r="AC9" i="1"/>
  <c r="AC10" i="1"/>
  <c r="AC11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53" i="1"/>
  <c r="AC54" i="1"/>
  <c r="AC55" i="1"/>
  <c r="AC56" i="1"/>
  <c r="AC57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5" i="1"/>
  <c r="AL6" i="1"/>
  <c r="AL7" i="1" s="1"/>
  <c r="AL8" i="1" s="1"/>
  <c r="AL9" i="1" s="1"/>
  <c r="AL10" i="1" s="1"/>
  <c r="AL11" i="1" s="1"/>
  <c r="AL12" i="1" s="1"/>
  <c r="AL13" i="1" s="1"/>
  <c r="AL14" i="1" s="1"/>
  <c r="AL15" i="1" s="1"/>
  <c r="AL16" i="1" s="1"/>
  <c r="AL17" i="1" s="1"/>
  <c r="AL18" i="1" s="1"/>
  <c r="AL19" i="1" s="1"/>
  <c r="AL20" i="1" s="1"/>
  <c r="AL21" i="1" s="1"/>
  <c r="AL22" i="1" s="1"/>
  <c r="AL23" i="1" s="1"/>
  <c r="AL24" i="1" s="1"/>
  <c r="AL25" i="1" s="1"/>
  <c r="AL26" i="1" s="1"/>
  <c r="AL27" i="1" s="1"/>
  <c r="AL28" i="1" s="1"/>
  <c r="AL29" i="1" s="1"/>
  <c r="AL30" i="1" s="1"/>
  <c r="AL31" i="1" s="1"/>
  <c r="AL32" i="1" s="1"/>
  <c r="AL33" i="1" s="1"/>
  <c r="AL34" i="1" s="1"/>
  <c r="AL35" i="1" s="1"/>
  <c r="AL36" i="1" s="1"/>
  <c r="AL37" i="1" s="1"/>
  <c r="AL38" i="1" s="1"/>
  <c r="AL39" i="1" s="1"/>
  <c r="AL40" i="1" s="1"/>
  <c r="AL41" i="1" s="1"/>
  <c r="AL42" i="1" s="1"/>
  <c r="AL43" i="1" s="1"/>
  <c r="AL44" i="1" s="1"/>
  <c r="AL45" i="1" s="1"/>
  <c r="AL46" i="1" s="1"/>
  <c r="AL47" i="1" s="1"/>
  <c r="AL48" i="1" s="1"/>
  <c r="AL49" i="1" s="1"/>
  <c r="AL50" i="1" s="1"/>
  <c r="AL51" i="1" s="1"/>
  <c r="AL52" i="1" s="1"/>
  <c r="AL53" i="1" s="1"/>
  <c r="AL54" i="1" s="1"/>
  <c r="AL55" i="1" s="1"/>
  <c r="AL56" i="1" s="1"/>
  <c r="AL57" i="1" s="1"/>
  <c r="AL58" i="1" s="1"/>
  <c r="AL59" i="1" s="1"/>
  <c r="AL60" i="1" s="1"/>
  <c r="AL61" i="1" s="1"/>
  <c r="AL62" i="1" s="1"/>
  <c r="AL63" i="1" s="1"/>
  <c r="AL64" i="1" s="1"/>
  <c r="AL65" i="1" s="1"/>
  <c r="AL66" i="1" s="1"/>
  <c r="AL67" i="1" s="1"/>
  <c r="AL68" i="1" s="1"/>
  <c r="AL69" i="1" s="1"/>
  <c r="AL70" i="1" s="1"/>
  <c r="AL71" i="1" s="1"/>
  <c r="AL72" i="1" s="1"/>
  <c r="AL73" i="1" s="1"/>
  <c r="AL74" i="1" s="1"/>
  <c r="AL75" i="1" s="1"/>
  <c r="AL76" i="1" s="1"/>
  <c r="AL77" i="1" s="1"/>
  <c r="AL78" i="1" s="1"/>
  <c r="AL79" i="1" s="1"/>
  <c r="AL80" i="1" s="1"/>
  <c r="AL81" i="1" s="1"/>
  <c r="AL82" i="1" s="1"/>
  <c r="AL83" i="1" s="1"/>
  <c r="AL84" i="1" s="1"/>
  <c r="AL85" i="1" s="1"/>
  <c r="AL86" i="1" s="1"/>
  <c r="AL87" i="1" s="1"/>
  <c r="AL88" i="1" s="1"/>
  <c r="AL89" i="1" s="1"/>
  <c r="AL90" i="1" s="1"/>
  <c r="AL91" i="1" s="1"/>
  <c r="AL92" i="1" s="1"/>
  <c r="AL93" i="1" s="1"/>
  <c r="AL94" i="1" s="1"/>
  <c r="AL95" i="1" s="1"/>
  <c r="AL96" i="1" s="1"/>
  <c r="AL97" i="1" s="1"/>
  <c r="AL98" i="1" s="1"/>
  <c r="AL99" i="1" s="1"/>
  <c r="AL100" i="1" s="1"/>
  <c r="AL101" i="1" s="1"/>
  <c r="AL102" i="1" s="1"/>
  <c r="AL103" i="1" s="1"/>
  <c r="AL104" i="1" s="1"/>
  <c r="AL105" i="1" s="1"/>
  <c r="P7" i="1" l="1"/>
  <c r="P9" i="1" s="1"/>
  <c r="Q17" i="1" s="1"/>
  <c r="Q13" i="1" s="1"/>
  <c r="B59" i="4"/>
  <c r="P25" i="1" s="1"/>
  <c r="P26" i="1" s="1"/>
  <c r="B59" i="2"/>
  <c r="P23" i="1" s="1"/>
  <c r="P24" i="1" s="1"/>
  <c r="AG9" i="1"/>
  <c r="P4" i="1"/>
  <c r="P6" i="1" s="1"/>
  <c r="Q15" i="1" l="1"/>
  <c r="Q11" i="1" s="1"/>
  <c r="P27" i="1"/>
  <c r="Q34" i="1"/>
  <c r="Q30" i="1" s="1"/>
  <c r="AI40" i="1" s="1"/>
  <c r="AG10" i="1"/>
  <c r="AO105" i="1"/>
  <c r="AO13" i="1"/>
  <c r="AO21" i="1"/>
  <c r="AO29" i="1"/>
  <c r="AO37" i="1"/>
  <c r="AO45" i="1"/>
  <c r="AO53" i="1"/>
  <c r="AO61" i="1"/>
  <c r="AO69" i="1"/>
  <c r="AO77" i="1"/>
  <c r="AO85" i="1"/>
  <c r="AO93" i="1"/>
  <c r="AO101" i="1"/>
  <c r="AO95" i="1"/>
  <c r="AO6" i="1"/>
  <c r="AO14" i="1"/>
  <c r="AO22" i="1"/>
  <c r="AO30" i="1"/>
  <c r="AO38" i="1"/>
  <c r="AO46" i="1"/>
  <c r="AO54" i="1"/>
  <c r="AO62" i="1"/>
  <c r="AO70" i="1"/>
  <c r="AO78" i="1"/>
  <c r="AO86" i="1"/>
  <c r="AO94" i="1"/>
  <c r="AO102" i="1"/>
  <c r="AO15" i="1"/>
  <c r="AO23" i="1"/>
  <c r="AO31" i="1"/>
  <c r="AO39" i="1"/>
  <c r="AO47" i="1"/>
  <c r="AO71" i="1"/>
  <c r="AO87" i="1"/>
  <c r="AO103" i="1"/>
  <c r="AO7" i="1"/>
  <c r="AO8" i="1"/>
  <c r="AO16" i="1"/>
  <c r="AO24" i="1"/>
  <c r="AO32" i="1"/>
  <c r="AO40" i="1"/>
  <c r="AO48" i="1"/>
  <c r="AO56" i="1"/>
  <c r="AO64" i="1"/>
  <c r="AO72" i="1"/>
  <c r="AO80" i="1"/>
  <c r="AO88" i="1"/>
  <c r="AO96" i="1"/>
  <c r="AO104" i="1"/>
  <c r="AO55" i="1"/>
  <c r="AO9" i="1"/>
  <c r="AO17" i="1"/>
  <c r="AO25" i="1"/>
  <c r="AO33" i="1"/>
  <c r="AO41" i="1"/>
  <c r="AO49" i="1"/>
  <c r="AO57" i="1"/>
  <c r="AO65" i="1"/>
  <c r="AO73" i="1"/>
  <c r="AO81" i="1"/>
  <c r="AO89" i="1"/>
  <c r="AO97" i="1"/>
  <c r="AO5" i="1"/>
  <c r="AO10" i="1"/>
  <c r="AO18" i="1"/>
  <c r="AO26" i="1"/>
  <c r="AO34" i="1"/>
  <c r="AO42" i="1"/>
  <c r="AO50" i="1"/>
  <c r="AO58" i="1"/>
  <c r="AO66" i="1"/>
  <c r="AO74" i="1"/>
  <c r="AO82" i="1"/>
  <c r="AO90" i="1"/>
  <c r="AO98" i="1"/>
  <c r="AO63" i="1"/>
  <c r="AO11" i="1"/>
  <c r="AO19" i="1"/>
  <c r="AO27" i="1"/>
  <c r="AO35" i="1"/>
  <c r="AO43" i="1"/>
  <c r="AO51" i="1"/>
  <c r="AO59" i="1"/>
  <c r="AO67" i="1"/>
  <c r="AO75" i="1"/>
  <c r="AO83" i="1"/>
  <c r="AO91" i="1"/>
  <c r="AO99" i="1"/>
  <c r="AO12" i="1"/>
  <c r="AO20" i="1"/>
  <c r="AO28" i="1"/>
  <c r="AO36" i="1"/>
  <c r="AO44" i="1"/>
  <c r="AO52" i="1"/>
  <c r="AO60" i="1"/>
  <c r="AO68" i="1"/>
  <c r="AO76" i="1"/>
  <c r="AO84" i="1"/>
  <c r="AO92" i="1"/>
  <c r="AO100" i="1"/>
  <c r="AO79" i="1"/>
  <c r="Q36" i="1" l="1"/>
  <c r="Q32" i="1" s="1"/>
  <c r="AJ14" i="1" s="1"/>
  <c r="P28" i="1"/>
  <c r="AN15" i="1"/>
  <c r="AN28" i="1"/>
  <c r="AN11" i="1"/>
  <c r="AN90" i="1"/>
  <c r="AN86" i="1"/>
  <c r="AN75" i="1"/>
  <c r="AN99" i="1"/>
  <c r="AN92" i="1"/>
  <c r="AN33" i="1"/>
  <c r="AN20" i="1"/>
  <c r="AN45" i="1"/>
  <c r="AN37" i="1"/>
  <c r="AN105" i="1"/>
  <c r="AN65" i="1"/>
  <c r="AN87" i="1"/>
  <c r="AN43" i="1"/>
  <c r="AN62" i="1"/>
  <c r="AN94" i="1"/>
  <c r="AN51" i="1"/>
  <c r="AN17" i="1"/>
  <c r="AN22" i="1"/>
  <c r="AN24" i="1"/>
  <c r="AN63" i="1"/>
  <c r="AN48" i="1"/>
  <c r="AN18" i="1"/>
  <c r="AN14" i="1"/>
  <c r="AN98" i="1"/>
  <c r="AN61" i="1"/>
  <c r="AN58" i="1"/>
  <c r="AN55" i="1"/>
  <c r="AN27" i="1"/>
  <c r="AN23" i="1"/>
  <c r="AN52" i="1"/>
  <c r="AN64" i="1"/>
  <c r="AN66" i="1"/>
  <c r="AN96" i="1"/>
  <c r="AN19" i="1"/>
  <c r="AN53" i="1"/>
  <c r="AN60" i="1"/>
  <c r="AN29" i="1"/>
  <c r="AN26" i="1"/>
  <c r="AN78" i="1"/>
  <c r="AN79" i="1"/>
  <c r="AN102" i="1"/>
  <c r="AN49" i="1"/>
  <c r="AN30" i="1"/>
  <c r="AN84" i="1"/>
  <c r="AN100" i="1"/>
  <c r="AN70" i="1"/>
  <c r="AN16" i="1"/>
  <c r="AN93" i="1"/>
  <c r="AN35" i="1"/>
  <c r="AN39" i="1"/>
  <c r="AN69" i="1"/>
  <c r="AN12" i="1"/>
  <c r="AN81" i="1"/>
  <c r="AN7" i="1"/>
  <c r="AN85" i="1"/>
  <c r="AN101" i="1"/>
  <c r="AN71" i="1"/>
  <c r="AN80" i="1"/>
  <c r="AN54" i="1"/>
  <c r="AN44" i="1"/>
  <c r="AN57" i="1"/>
  <c r="AN50" i="1"/>
  <c r="AN95" i="1"/>
  <c r="AN72" i="1"/>
  <c r="AN46" i="1"/>
  <c r="AN41" i="1"/>
  <c r="AN104" i="1"/>
  <c r="AN10" i="1"/>
  <c r="AN88" i="1"/>
  <c r="AN6" i="1"/>
  <c r="AN67" i="1"/>
  <c r="AN103" i="1"/>
  <c r="AN59" i="1"/>
  <c r="AN9" i="1"/>
  <c r="AN73" i="1"/>
  <c r="AN47" i="1"/>
  <c r="AN32" i="1"/>
  <c r="AN34" i="1"/>
  <c r="AN74" i="1"/>
  <c r="AN82" i="1"/>
  <c r="AN40" i="1"/>
  <c r="AN5" i="1"/>
  <c r="AN13" i="1"/>
  <c r="AN38" i="1"/>
  <c r="AN68" i="1"/>
  <c r="AN8" i="1"/>
  <c r="AN21" i="1"/>
  <c r="AN91" i="1"/>
  <c r="AN31" i="1"/>
  <c r="AN25" i="1"/>
  <c r="AN83" i="1"/>
  <c r="AN36" i="1"/>
  <c r="AN89" i="1"/>
  <c r="AN42" i="1"/>
  <c r="AN97" i="1"/>
  <c r="AN56" i="1"/>
  <c r="AN76" i="1"/>
  <c r="AN77" i="1"/>
  <c r="AI28" i="1"/>
  <c r="AI81" i="1"/>
  <c r="AI17" i="1"/>
  <c r="AI69" i="1"/>
  <c r="AI34" i="1"/>
  <c r="AI47" i="1"/>
  <c r="AI96" i="1"/>
  <c r="AI32" i="1"/>
  <c r="AI51" i="1"/>
  <c r="AI29" i="1"/>
  <c r="AI102" i="1"/>
  <c r="AI38" i="1"/>
  <c r="AI61" i="1"/>
  <c r="AI103" i="1"/>
  <c r="AI94" i="1"/>
  <c r="AI43" i="1"/>
  <c r="AI37" i="1"/>
  <c r="AI73" i="1"/>
  <c r="AI88" i="1"/>
  <c r="AI95" i="1"/>
  <c r="AI86" i="1"/>
  <c r="AI35" i="1"/>
  <c r="AI21" i="1"/>
  <c r="AI83" i="1"/>
  <c r="AI80" i="1"/>
  <c r="AI76" i="1"/>
  <c r="AI87" i="1"/>
  <c r="AI14" i="1"/>
  <c r="AI66" i="1"/>
  <c r="AI90" i="1"/>
  <c r="AI72" i="1"/>
  <c r="AI60" i="1"/>
  <c r="AI15" i="1"/>
  <c r="AI6" i="1"/>
  <c r="AI58" i="1"/>
  <c r="AI84" i="1"/>
  <c r="AI49" i="1"/>
  <c r="AI64" i="1"/>
  <c r="AI36" i="1"/>
  <c r="AI71" i="1"/>
  <c r="AI7" i="1"/>
  <c r="AI62" i="1"/>
  <c r="AI75" i="1"/>
  <c r="AI11" i="1"/>
  <c r="AI50" i="1"/>
  <c r="AI68" i="1"/>
  <c r="AI5" i="1"/>
  <c r="AI41" i="1"/>
  <c r="AI74" i="1"/>
  <c r="AI56" i="1"/>
  <c r="AI13" i="1"/>
  <c r="AI39" i="1"/>
  <c r="AI30" i="1"/>
  <c r="AI99" i="1"/>
  <c r="AI12" i="1"/>
  <c r="AI9" i="1"/>
  <c r="AI24" i="1"/>
  <c r="AI100" i="1"/>
  <c r="AI31" i="1"/>
  <c r="AI22" i="1"/>
  <c r="AI82" i="1"/>
  <c r="AI65" i="1"/>
  <c r="AI77" i="1"/>
  <c r="AI16" i="1"/>
  <c r="AI23" i="1"/>
  <c r="AI78" i="1"/>
  <c r="AI27" i="1"/>
  <c r="AI92" i="1"/>
  <c r="AI57" i="1"/>
  <c r="AI45" i="1"/>
  <c r="AI8" i="1"/>
  <c r="AI79" i="1"/>
  <c r="AI70" i="1"/>
  <c r="AI19" i="1"/>
  <c r="AI42" i="1"/>
  <c r="AI105" i="1"/>
  <c r="AI20" i="1"/>
  <c r="AI63" i="1"/>
  <c r="AI98" i="1"/>
  <c r="AI54" i="1"/>
  <c r="AI67" i="1"/>
  <c r="AI85" i="1"/>
  <c r="AI18" i="1"/>
  <c r="AI52" i="1"/>
  <c r="AI97" i="1"/>
  <c r="AI33" i="1"/>
  <c r="AI10" i="1"/>
  <c r="AI48" i="1"/>
  <c r="AI101" i="1"/>
  <c r="AI91" i="1"/>
  <c r="AI55" i="1"/>
  <c r="AI26" i="1"/>
  <c r="AI46" i="1"/>
  <c r="AI59" i="1"/>
  <c r="AI53" i="1"/>
  <c r="AI93" i="1"/>
  <c r="AI44" i="1"/>
  <c r="AI89" i="1"/>
  <c r="AI25" i="1"/>
  <c r="AI104" i="1"/>
  <c r="AG11" i="1"/>
  <c r="AJ50" i="1" l="1"/>
  <c r="AJ105" i="1"/>
  <c r="AJ34" i="1"/>
  <c r="AJ96" i="1"/>
  <c r="AJ57" i="1"/>
  <c r="AJ85" i="1"/>
  <c r="AJ101" i="1"/>
  <c r="AJ89" i="1"/>
  <c r="AJ91" i="1"/>
  <c r="AJ104" i="1"/>
  <c r="AJ72" i="1"/>
  <c r="AJ25" i="1"/>
  <c r="AJ76" i="1"/>
  <c r="AJ33" i="1"/>
  <c r="AJ36" i="1"/>
  <c r="AJ102" i="1"/>
  <c r="AJ38" i="1"/>
  <c r="AJ97" i="1"/>
  <c r="AJ9" i="1"/>
  <c r="AJ74" i="1"/>
  <c r="AJ95" i="1"/>
  <c r="AJ13" i="1"/>
  <c r="AJ92" i="1"/>
  <c r="AJ103" i="1"/>
  <c r="AJ32" i="1"/>
  <c r="AJ59" i="1"/>
  <c r="AJ40" i="1"/>
  <c r="AJ44" i="1"/>
  <c r="AJ79" i="1"/>
  <c r="AJ46" i="1"/>
  <c r="AJ22" i="1"/>
  <c r="AJ26" i="1"/>
  <c r="AJ65" i="1"/>
  <c r="AJ64" i="1"/>
  <c r="AJ99" i="1"/>
  <c r="AJ56" i="1"/>
  <c r="AJ30" i="1"/>
  <c r="AJ77" i="1"/>
  <c r="AJ94" i="1"/>
  <c r="AJ62" i="1"/>
  <c r="AJ75" i="1"/>
  <c r="AJ31" i="1"/>
  <c r="AJ100" i="1"/>
  <c r="AJ12" i="1"/>
  <c r="AJ48" i="1"/>
  <c r="AJ16" i="1"/>
  <c r="AJ5" i="1"/>
  <c r="AJ55" i="1"/>
  <c r="AJ11" i="1"/>
  <c r="AJ81" i="1"/>
  <c r="AJ54" i="1"/>
  <c r="AJ86" i="1"/>
  <c r="AJ23" i="1"/>
  <c r="AJ27" i="1"/>
  <c r="AJ80" i="1"/>
  <c r="AJ7" i="1"/>
  <c r="AJ68" i="1"/>
  <c r="AJ73" i="1"/>
  <c r="AJ28" i="1"/>
  <c r="AJ47" i="1"/>
  <c r="AJ15" i="1"/>
  <c r="AJ61" i="1"/>
  <c r="AJ87" i="1"/>
  <c r="AJ66" i="1"/>
  <c r="AJ6" i="1"/>
  <c r="AJ78" i="1"/>
  <c r="AJ45" i="1"/>
  <c r="AJ17" i="1"/>
  <c r="AJ71" i="1"/>
  <c r="AJ37" i="1"/>
  <c r="AJ53" i="1"/>
  <c r="AJ35" i="1"/>
  <c r="AJ18" i="1"/>
  <c r="AJ98" i="1"/>
  <c r="AJ39" i="1"/>
  <c r="AJ19" i="1"/>
  <c r="AJ69" i="1"/>
  <c r="AJ43" i="1"/>
  <c r="AJ93" i="1"/>
  <c r="AJ20" i="1"/>
  <c r="AJ51" i="1"/>
  <c r="AJ70" i="1"/>
  <c r="AJ42" i="1"/>
  <c r="AJ84" i="1"/>
  <c r="AJ8" i="1"/>
  <c r="AJ24" i="1"/>
  <c r="AJ58" i="1"/>
  <c r="AJ90" i="1"/>
  <c r="AJ82" i="1"/>
  <c r="AJ67" i="1"/>
  <c r="AJ29" i="1"/>
  <c r="AJ63" i="1"/>
  <c r="AJ88" i="1"/>
  <c r="AJ83" i="1"/>
  <c r="AJ41" i="1"/>
  <c r="AJ49" i="1"/>
  <c r="AJ10" i="1"/>
  <c r="AJ21" i="1"/>
  <c r="AJ52" i="1"/>
  <c r="AJ60" i="1"/>
  <c r="AG12" i="1"/>
  <c r="AG13" i="1" l="1"/>
  <c r="AG14" i="1" l="1"/>
  <c r="AG15" i="1" l="1"/>
  <c r="AG16" i="1" l="1"/>
  <c r="AG17" i="1" l="1"/>
  <c r="AG18" i="1" l="1"/>
  <c r="AG19" i="1" l="1"/>
  <c r="AG20" i="1" l="1"/>
  <c r="AG21" i="1" l="1"/>
  <c r="AG22" i="1" l="1"/>
  <c r="AG23" i="1" l="1"/>
  <c r="AG24" i="1" l="1"/>
  <c r="AG25" i="1" l="1"/>
  <c r="AG26" i="1" l="1"/>
  <c r="AG27" i="1" l="1"/>
  <c r="AG28" i="1" l="1"/>
  <c r="AG29" i="1" l="1"/>
  <c r="AG30" i="1" l="1"/>
  <c r="AG31" i="1" l="1"/>
  <c r="AG32" i="1" l="1"/>
  <c r="AG33" i="1" l="1"/>
  <c r="AG34" i="1" l="1"/>
  <c r="AG35" i="1" l="1"/>
  <c r="AG36" i="1" l="1"/>
  <c r="AG37" i="1" l="1"/>
  <c r="AG38" i="1" l="1"/>
  <c r="AG39" i="1" l="1"/>
  <c r="AG40" i="1" l="1"/>
  <c r="AG41" i="1" l="1"/>
  <c r="AG42" i="1" l="1"/>
  <c r="AG43" i="1" l="1"/>
  <c r="AG44" i="1" l="1"/>
  <c r="AG45" i="1" l="1"/>
  <c r="AG46" i="1" l="1"/>
  <c r="AG47" i="1" l="1"/>
  <c r="AG48" i="1" l="1"/>
  <c r="AG49" i="1" l="1"/>
  <c r="AG50" i="1" l="1"/>
  <c r="AG51" i="1" l="1"/>
  <c r="AG52" i="1" l="1"/>
  <c r="AG53" i="1" l="1"/>
  <c r="AG54" i="1" l="1"/>
  <c r="AG55" i="1" l="1"/>
  <c r="AG56" i="1" l="1"/>
  <c r="AG57" i="1" l="1"/>
  <c r="AG58" i="1" l="1"/>
  <c r="AG59" i="1" l="1"/>
  <c r="AG60" i="1" l="1"/>
  <c r="AG61" i="1" l="1"/>
  <c r="AG62" i="1" l="1"/>
  <c r="AG63" i="1" l="1"/>
  <c r="AG64" i="1" l="1"/>
  <c r="AG65" i="1" l="1"/>
  <c r="AG66" i="1" l="1"/>
  <c r="AG67" i="1" l="1"/>
  <c r="AG68" i="1" l="1"/>
  <c r="AG69" i="1" l="1"/>
  <c r="AG70" i="1" l="1"/>
  <c r="AG71" i="1" l="1"/>
  <c r="AG72" i="1" l="1"/>
  <c r="AG73" i="1" l="1"/>
  <c r="AG74" i="1" l="1"/>
  <c r="AG75" i="1" l="1"/>
  <c r="AG76" i="1" l="1"/>
  <c r="AG77" i="1" l="1"/>
  <c r="AG78" i="1" l="1"/>
  <c r="AG79" i="1" l="1"/>
  <c r="AG80" i="1" l="1"/>
  <c r="AG81" i="1" l="1"/>
  <c r="AG82" i="1" l="1"/>
  <c r="AG83" i="1" l="1"/>
  <c r="AG84" i="1" l="1"/>
  <c r="AG85" i="1" l="1"/>
  <c r="AG86" i="1" l="1"/>
  <c r="AG87" i="1" l="1"/>
  <c r="AG88" i="1" l="1"/>
  <c r="AG89" i="1" l="1"/>
  <c r="AG90" i="1" l="1"/>
  <c r="AG91" i="1" l="1"/>
  <c r="AG92" i="1" l="1"/>
  <c r="AG93" i="1" l="1"/>
  <c r="AG94" i="1" l="1"/>
  <c r="AG95" i="1" l="1"/>
  <c r="AG96" i="1" l="1"/>
  <c r="AG97" i="1" l="1"/>
  <c r="AG98" i="1" l="1"/>
  <c r="AG99" i="1" l="1"/>
  <c r="AG100" i="1" l="1"/>
  <c r="AG101" i="1" l="1"/>
  <c r="AG102" i="1" l="1"/>
  <c r="AG103" i="1" l="1"/>
  <c r="AG104" i="1" l="1"/>
  <c r="AG105" i="1" l="1"/>
</calcChain>
</file>

<file path=xl/sharedStrings.xml><?xml version="1.0" encoding="utf-8"?>
<sst xmlns="http://schemas.openxmlformats.org/spreadsheetml/2006/main" count="213" uniqueCount="81">
  <si>
    <t>Average Production</t>
  </si>
  <si>
    <t>Sequence</t>
  </si>
  <si>
    <t>Grey</t>
  </si>
  <si>
    <t>Colour (Pro)</t>
  </si>
  <si>
    <t>Colour (Con)</t>
  </si>
  <si>
    <t>Average Consumption</t>
  </si>
  <si>
    <t>Site</t>
  </si>
  <si>
    <t>Production</t>
  </si>
  <si>
    <t>Consumption</t>
  </si>
  <si>
    <t>ECD001</t>
  </si>
  <si>
    <t>Total Production</t>
  </si>
  <si>
    <t>ECD002</t>
  </si>
  <si>
    <t>Total Consumption</t>
  </si>
  <si>
    <t>ECD003</t>
  </si>
  <si>
    <t>KZND001</t>
  </si>
  <si>
    <t>Production as Percentage:</t>
  </si>
  <si>
    <t>WCD001</t>
  </si>
  <si>
    <t>WCD002</t>
  </si>
  <si>
    <t>Consumption as Percentage:</t>
  </si>
  <si>
    <t>WCD003</t>
  </si>
  <si>
    <t>WCD004</t>
  </si>
  <si>
    <t>WCD005</t>
  </si>
  <si>
    <t>WCD006</t>
  </si>
  <si>
    <t>WCD007</t>
  </si>
  <si>
    <t>WCD008</t>
  </si>
  <si>
    <t>WCD009</t>
  </si>
  <si>
    <t>WCD010</t>
  </si>
  <si>
    <t>WCD011</t>
  </si>
  <si>
    <t>WCD012</t>
  </si>
  <si>
    <t>WCD013</t>
  </si>
  <si>
    <t>WCD014</t>
  </si>
  <si>
    <t>WCD015</t>
  </si>
  <si>
    <t>WCD016</t>
  </si>
  <si>
    <t>WCD017</t>
  </si>
  <si>
    <t>WCD018</t>
  </si>
  <si>
    <t>WCD019</t>
  </si>
  <si>
    <t>WCD020</t>
  </si>
  <si>
    <t>WCD021</t>
  </si>
  <si>
    <t>WCD022</t>
  </si>
  <si>
    <t>WCD023</t>
  </si>
  <si>
    <t>WCD024</t>
  </si>
  <si>
    <t>WCD025</t>
  </si>
  <si>
    <t>WCD026</t>
  </si>
  <si>
    <t>WCD027</t>
  </si>
  <si>
    <t>WCD028</t>
  </si>
  <si>
    <t>WCD029</t>
  </si>
  <si>
    <t>WCD030</t>
  </si>
  <si>
    <t>WCD031</t>
  </si>
  <si>
    <t>WCD032</t>
  </si>
  <si>
    <t>WCD033</t>
  </si>
  <si>
    <t>WCD034</t>
  </si>
  <si>
    <t>WCD035</t>
  </si>
  <si>
    <t>TOGD001</t>
  </si>
  <si>
    <t>TOGD002</t>
  </si>
  <si>
    <t>TOGD003</t>
  </si>
  <si>
    <t>TOGD004</t>
  </si>
  <si>
    <t>TOGD005</t>
  </si>
  <si>
    <t>TOGD006</t>
  </si>
  <si>
    <t>TOGD007</t>
  </si>
  <si>
    <t>TOGD008</t>
  </si>
  <si>
    <t>TOGD009</t>
  </si>
  <si>
    <t>TOGD010</t>
  </si>
  <si>
    <t>TOGD011</t>
  </si>
  <si>
    <t>TOGD012</t>
  </si>
  <si>
    <t>TOGD013</t>
  </si>
  <si>
    <t>TOGD014</t>
  </si>
  <si>
    <t>Purchase</t>
  </si>
  <si>
    <t>Average Purchase</t>
  </si>
  <si>
    <t>Total Purchase</t>
  </si>
  <si>
    <t>Production VS Purchase</t>
  </si>
  <si>
    <t>Purchase VS Production</t>
  </si>
  <si>
    <t>Tractor House</t>
  </si>
  <si>
    <t>Daily Stats:</t>
  </si>
  <si>
    <t>Site/ Date</t>
  </si>
  <si>
    <t>Daily totals</t>
  </si>
  <si>
    <t>Monthly total</t>
  </si>
  <si>
    <t>Monthly Stats:</t>
  </si>
  <si>
    <t>kWh</t>
  </si>
  <si>
    <t>DELAY0oard</t>
  </si>
  <si>
    <t>MWh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</si>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</sst>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333333"/>
      <name val="Arial"/>
      <family val="2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2"/>
      <color rgb="FF201E3B"/>
      <name val="Segoe UI"/>
      <family val="2"/>
    </font>
    <font>
      <sz val="8"/>
      <color rgb="FF201E3B"/>
      <name val="Segoe UI"/>
      <family val="2"/>
    </font>
    <font>
      <sz val="10"/>
      <name val="Calibri"/>
      <family val="2"/>
    </font>
    <font>
      <sz val="8"/>
      <color rgb="FF212529"/>
      <name val="Arial"/>
      <family val="2"/>
    </font>
    <font>
      <sz val="10"/>
      <name val="Calibri"/>
    </font>
    <font>
      <sz val="11"/>
      <color rgb="FF21252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1"/>
      </patternFill>
    </fill>
    <fill>
      <patternFill patternType="solid">
        <fgColor rgb="FFFFFFFF"/>
        <bgColor indexed="64"/>
      </patternFill>
    </fill>
    <fill>
      <patternFill patternType="solid">
        <fgColor rgb="FFFFFAF6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7" fillId="0" borderId="0"/>
  </cellStyleXfs>
  <cellXfs count="43">
    <xf numFmtId="0" fontId="0" fillId="0" borderId="0" xfId="0"/>
    <xf numFmtId="9" fontId="0" fillId="0" borderId="0" xfId="1" applyFont="1"/>
    <xf numFmtId="2" fontId="0" fillId="0" borderId="0" xfId="1" applyNumberFormat="1" applyFont="1"/>
    <xf numFmtId="0" fontId="2" fillId="0" borderId="0" xfId="0" applyFont="1"/>
    <xf numFmtId="0" fontId="4" fillId="0" borderId="0" xfId="0" applyFont="1"/>
    <xf numFmtId="0" fontId="3" fillId="0" borderId="0" xfId="0" applyFont="1"/>
    <xf numFmtId="2" fontId="3" fillId="0" borderId="0" xfId="1" applyNumberFormat="1" applyFont="1"/>
    <xf numFmtId="0" fontId="0" fillId="0" borderId="2" xfId="0" applyBorder="1"/>
    <xf numFmtId="0" fontId="0" fillId="0" borderId="3" xfId="0" applyBorder="1"/>
    <xf numFmtId="2" fontId="0" fillId="0" borderId="0" xfId="1" applyNumberFormat="1" applyFont="1" applyBorder="1"/>
    <xf numFmtId="9" fontId="0" fillId="0" borderId="0" xfId="1" applyFont="1" applyBorder="1"/>
    <xf numFmtId="0" fontId="0" fillId="0" borderId="4" xfId="0" applyBorder="1"/>
    <xf numFmtId="0" fontId="0" fillId="0" borderId="5" xfId="0" applyBorder="1"/>
    <xf numFmtId="2" fontId="0" fillId="0" borderId="5" xfId="1" applyNumberFormat="1" applyFont="1" applyBorder="1"/>
    <xf numFmtId="9" fontId="0" fillId="0" borderId="5" xfId="1" applyFont="1" applyBorder="1"/>
    <xf numFmtId="9" fontId="3" fillId="0" borderId="0" xfId="1" applyFont="1" applyFill="1" applyBorder="1"/>
    <xf numFmtId="2" fontId="0" fillId="0" borderId="0" xfId="0" applyNumberFormat="1"/>
    <xf numFmtId="2" fontId="2" fillId="0" borderId="0" xfId="0" applyNumberFormat="1" applyFont="1"/>
    <xf numFmtId="0" fontId="0" fillId="3" borderId="0" xfId="0" applyFill="1"/>
    <xf numFmtId="0" fontId="3" fillId="0" borderId="1" xfId="0" applyFont="1" applyBorder="1"/>
    <xf numFmtId="0" fontId="0" fillId="0" borderId="7" xfId="0" applyBorder="1"/>
    <xf numFmtId="0" fontId="4" fillId="0" borderId="3" xfId="0" applyFont="1" applyBorder="1"/>
    <xf numFmtId="0" fontId="4" fillId="0" borderId="8" xfId="0" applyFont="1" applyBorder="1"/>
    <xf numFmtId="2" fontId="5" fillId="0" borderId="0" xfId="0" applyNumberFormat="1" applyFont="1"/>
    <xf numFmtId="0" fontId="5" fillId="0" borderId="0" xfId="0" applyFont="1"/>
    <xf numFmtId="2" fontId="3" fillId="0" borderId="0" xfId="0" applyNumberFormat="1" applyFont="1"/>
    <xf numFmtId="0" fontId="0" fillId="0" borderId="8" xfId="0" applyBorder="1"/>
    <xf numFmtId="9" fontId="5" fillId="0" borderId="8" xfId="0" applyNumberFormat="1" applyFont="1" applyBorder="1"/>
    <xf numFmtId="9" fontId="4" fillId="0" borderId="0" xfId="0" applyNumberFormat="1" applyFont="1"/>
    <xf numFmtId="9" fontId="5" fillId="0" borderId="8" xfId="1" applyFont="1" applyBorder="1"/>
    <xf numFmtId="0" fontId="5" fillId="0" borderId="8" xfId="0" applyFont="1" applyBorder="1"/>
    <xf numFmtId="0" fontId="2" fillId="0" borderId="8" xfId="0" applyFont="1" applyBorder="1"/>
    <xf numFmtId="0" fontId="2" fillId="0" borderId="5" xfId="0" applyFont="1" applyBorder="1"/>
    <xf numFmtId="0" fontId="0" fillId="0" borderId="9" xfId="0" applyBorder="1"/>
    <xf numFmtId="0" fontId="6" fillId="0" borderId="0" xfId="0" applyFont="1"/>
    <xf numFmtId="2" fontId="9" fillId="0" borderId="0" xfId="0" applyNumberFormat="1" applyFont="1"/>
    <xf numFmtId="2" fontId="11" fillId="4" borderId="0" xfId="0" applyNumberFormat="1" applyFont="1" applyFill="1" applyAlignment="1">
      <alignment horizontal="right" vertical="center"/>
    </xf>
    <xf numFmtId="2" fontId="10" fillId="2" borderId="6" xfId="2" applyNumberFormat="1" applyFont="1" applyFill="1" applyBorder="1" applyAlignment="1">
      <alignment vertical="center"/>
    </xf>
    <xf numFmtId="2" fontId="8" fillId="0" borderId="0" xfId="0" applyNumberFormat="1" applyFont="1"/>
    <xf numFmtId="0" fontId="13" fillId="0" borderId="0" xfId="0" applyFont="1"/>
    <xf numFmtId="0" fontId="12" fillId="2" borderId="6" xfId="2" applyFont="1" applyFill="1" applyBorder="1" applyAlignment="1">
      <alignment vertical="center"/>
    </xf>
    <xf numFmtId="0" fontId="12" fillId="2" borderId="6" xfId="2" applyFont="1" applyFill="1" applyBorder="1" applyAlignment="1">
      <alignment vertical="center"/>
    </xf>
    <xf numFmtId="0" fontId="12" fillId="2" borderId="6" xfId="2" applyFont="1" applyFill="1" applyBorder="1" applyAlignment="1">
      <alignment vertical="center"/>
    </xf>
  </cellXfs>
  <cellStyles count="3">
    <cellStyle name="Normal" xfId="0" builtinId="0"/>
    <cellStyle name="Normal 2" xfId="2" xr:uid="{3691B725-1B0A-43E3-B050-C493CFDE8E77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27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TODAY'S</a:t>
            </a:r>
            <a:r>
              <a:rPr lang="en-US" b="1" baseline="0"/>
              <a:t> </a:t>
            </a:r>
          </a:p>
          <a:p>
            <a:pPr>
              <a:defRPr/>
            </a:pPr>
            <a:r>
              <a:rPr lang="en-US" b="1"/>
              <a:t>SOLAR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Dashboard!$AM$4</c:f>
              <c:strCache>
                <c:ptCount val="1"/>
                <c:pt idx="0">
                  <c:v>Grey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</c:spPr>
          <c:dPt>
            <c:idx val="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AED-404A-9292-C7C196DF8B09}"/>
              </c:ext>
            </c:extLst>
          </c:dPt>
          <c:dPt>
            <c:idx val="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AED-404A-9292-C7C196DF8B09}"/>
              </c:ext>
            </c:extLst>
          </c:dPt>
          <c:dPt>
            <c:idx val="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AED-404A-9292-C7C196DF8B09}"/>
              </c:ext>
            </c:extLst>
          </c:dPt>
          <c:dPt>
            <c:idx val="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AED-404A-9292-C7C196DF8B09}"/>
              </c:ext>
            </c:extLst>
          </c:dPt>
          <c:dPt>
            <c:idx val="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AED-404A-9292-C7C196DF8B09}"/>
              </c:ext>
            </c:extLst>
          </c:dPt>
          <c:dPt>
            <c:idx val="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AED-404A-9292-C7C196DF8B09}"/>
              </c:ext>
            </c:extLst>
          </c:dPt>
          <c:dPt>
            <c:idx val="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AED-404A-9292-C7C196DF8B09}"/>
              </c:ext>
            </c:extLst>
          </c:dPt>
          <c:dPt>
            <c:idx val="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AED-404A-9292-C7C196DF8B09}"/>
              </c:ext>
            </c:extLst>
          </c:dPt>
          <c:dPt>
            <c:idx val="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AED-404A-9292-C7C196DF8B09}"/>
              </c:ext>
            </c:extLst>
          </c:dPt>
          <c:dPt>
            <c:idx val="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AED-404A-9292-C7C196DF8B09}"/>
              </c:ext>
            </c:extLst>
          </c:dPt>
          <c:dPt>
            <c:idx val="1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AED-404A-9292-C7C196DF8B09}"/>
              </c:ext>
            </c:extLst>
          </c:dPt>
          <c:dPt>
            <c:idx val="1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AED-404A-9292-C7C196DF8B09}"/>
              </c:ext>
            </c:extLst>
          </c:dPt>
          <c:dPt>
            <c:idx val="1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AED-404A-9292-C7C196DF8B09}"/>
              </c:ext>
            </c:extLst>
          </c:dPt>
          <c:dPt>
            <c:idx val="1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AED-404A-9292-C7C196DF8B09}"/>
              </c:ext>
            </c:extLst>
          </c:dPt>
          <c:dPt>
            <c:idx val="1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AED-404A-9292-C7C196DF8B09}"/>
              </c:ext>
            </c:extLst>
          </c:dPt>
          <c:dPt>
            <c:idx val="1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AED-404A-9292-C7C196DF8B09}"/>
              </c:ext>
            </c:extLst>
          </c:dPt>
          <c:dPt>
            <c:idx val="1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AED-404A-9292-C7C196DF8B09}"/>
              </c:ext>
            </c:extLst>
          </c:dPt>
          <c:dPt>
            <c:idx val="1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AED-404A-9292-C7C196DF8B09}"/>
              </c:ext>
            </c:extLst>
          </c:dPt>
          <c:dPt>
            <c:idx val="1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0AED-404A-9292-C7C196DF8B09}"/>
              </c:ext>
            </c:extLst>
          </c:dPt>
          <c:dPt>
            <c:idx val="1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0AED-404A-9292-C7C196DF8B09}"/>
              </c:ext>
            </c:extLst>
          </c:dPt>
          <c:dPt>
            <c:idx val="2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0AED-404A-9292-C7C196DF8B09}"/>
              </c:ext>
            </c:extLst>
          </c:dPt>
          <c:dPt>
            <c:idx val="2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0AED-404A-9292-C7C196DF8B09}"/>
              </c:ext>
            </c:extLst>
          </c:dPt>
          <c:dPt>
            <c:idx val="2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0AED-404A-9292-C7C196DF8B09}"/>
              </c:ext>
            </c:extLst>
          </c:dPt>
          <c:dPt>
            <c:idx val="2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0AED-404A-9292-C7C196DF8B09}"/>
              </c:ext>
            </c:extLst>
          </c:dPt>
          <c:dPt>
            <c:idx val="2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0AED-404A-9292-C7C196DF8B09}"/>
              </c:ext>
            </c:extLst>
          </c:dPt>
          <c:dPt>
            <c:idx val="2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0AED-404A-9292-C7C196DF8B09}"/>
              </c:ext>
            </c:extLst>
          </c:dPt>
          <c:dPt>
            <c:idx val="2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0AED-404A-9292-C7C196DF8B09}"/>
              </c:ext>
            </c:extLst>
          </c:dPt>
          <c:dPt>
            <c:idx val="2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0AED-404A-9292-C7C196DF8B09}"/>
              </c:ext>
            </c:extLst>
          </c:dPt>
          <c:dPt>
            <c:idx val="2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0AED-404A-9292-C7C196DF8B09}"/>
              </c:ext>
            </c:extLst>
          </c:dPt>
          <c:dPt>
            <c:idx val="2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0AED-404A-9292-C7C196DF8B09}"/>
              </c:ext>
            </c:extLst>
          </c:dPt>
          <c:dPt>
            <c:idx val="3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0AED-404A-9292-C7C196DF8B09}"/>
              </c:ext>
            </c:extLst>
          </c:dPt>
          <c:dPt>
            <c:idx val="3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0AED-404A-9292-C7C196DF8B09}"/>
              </c:ext>
            </c:extLst>
          </c:dPt>
          <c:dPt>
            <c:idx val="3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0AED-404A-9292-C7C196DF8B09}"/>
              </c:ext>
            </c:extLst>
          </c:dPt>
          <c:dPt>
            <c:idx val="3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0AED-404A-9292-C7C196DF8B09}"/>
              </c:ext>
            </c:extLst>
          </c:dPt>
          <c:dPt>
            <c:idx val="3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0AED-404A-9292-C7C196DF8B09}"/>
              </c:ext>
            </c:extLst>
          </c:dPt>
          <c:dPt>
            <c:idx val="3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0AED-404A-9292-C7C196DF8B09}"/>
              </c:ext>
            </c:extLst>
          </c:dPt>
          <c:dPt>
            <c:idx val="3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0AED-404A-9292-C7C196DF8B09}"/>
              </c:ext>
            </c:extLst>
          </c:dPt>
          <c:dPt>
            <c:idx val="3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0AED-404A-9292-C7C196DF8B09}"/>
              </c:ext>
            </c:extLst>
          </c:dPt>
          <c:dPt>
            <c:idx val="3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0AED-404A-9292-C7C196DF8B09}"/>
              </c:ext>
            </c:extLst>
          </c:dPt>
          <c:dPt>
            <c:idx val="3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0AED-404A-9292-C7C196DF8B09}"/>
              </c:ext>
            </c:extLst>
          </c:dPt>
          <c:dPt>
            <c:idx val="4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0AED-404A-9292-C7C196DF8B09}"/>
              </c:ext>
            </c:extLst>
          </c:dPt>
          <c:dPt>
            <c:idx val="4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0AED-404A-9292-C7C196DF8B09}"/>
              </c:ext>
            </c:extLst>
          </c:dPt>
          <c:dPt>
            <c:idx val="4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0AED-404A-9292-C7C196DF8B09}"/>
              </c:ext>
            </c:extLst>
          </c:dPt>
          <c:dPt>
            <c:idx val="4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0AED-404A-9292-C7C196DF8B09}"/>
              </c:ext>
            </c:extLst>
          </c:dPt>
          <c:dPt>
            <c:idx val="4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0AED-404A-9292-C7C196DF8B09}"/>
              </c:ext>
            </c:extLst>
          </c:dPt>
          <c:dPt>
            <c:idx val="4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0AED-404A-9292-C7C196DF8B09}"/>
              </c:ext>
            </c:extLst>
          </c:dPt>
          <c:dPt>
            <c:idx val="4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0AED-404A-9292-C7C196DF8B09}"/>
              </c:ext>
            </c:extLst>
          </c:dPt>
          <c:dPt>
            <c:idx val="4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0AED-404A-9292-C7C196DF8B09}"/>
              </c:ext>
            </c:extLst>
          </c:dPt>
          <c:dPt>
            <c:idx val="4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0AED-404A-9292-C7C196DF8B09}"/>
              </c:ext>
            </c:extLst>
          </c:dPt>
          <c:dPt>
            <c:idx val="4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0AED-404A-9292-C7C196DF8B09}"/>
              </c:ext>
            </c:extLst>
          </c:dPt>
          <c:dPt>
            <c:idx val="5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0AED-404A-9292-C7C196DF8B09}"/>
              </c:ext>
            </c:extLst>
          </c:dPt>
          <c:dPt>
            <c:idx val="5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0AED-404A-9292-C7C196DF8B09}"/>
              </c:ext>
            </c:extLst>
          </c:dPt>
          <c:dPt>
            <c:idx val="5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0AED-404A-9292-C7C196DF8B09}"/>
              </c:ext>
            </c:extLst>
          </c:dPt>
          <c:dPt>
            <c:idx val="5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0AED-404A-9292-C7C196DF8B09}"/>
              </c:ext>
            </c:extLst>
          </c:dPt>
          <c:dPt>
            <c:idx val="5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0AED-404A-9292-C7C196DF8B09}"/>
              </c:ext>
            </c:extLst>
          </c:dPt>
          <c:dPt>
            <c:idx val="5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0AED-404A-9292-C7C196DF8B09}"/>
              </c:ext>
            </c:extLst>
          </c:dPt>
          <c:dPt>
            <c:idx val="5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0AED-404A-9292-C7C196DF8B09}"/>
              </c:ext>
            </c:extLst>
          </c:dPt>
          <c:dPt>
            <c:idx val="5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0AED-404A-9292-C7C196DF8B09}"/>
              </c:ext>
            </c:extLst>
          </c:dPt>
          <c:dPt>
            <c:idx val="5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0AED-404A-9292-C7C196DF8B09}"/>
              </c:ext>
            </c:extLst>
          </c:dPt>
          <c:dPt>
            <c:idx val="5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0AED-404A-9292-C7C196DF8B09}"/>
              </c:ext>
            </c:extLst>
          </c:dPt>
          <c:dPt>
            <c:idx val="6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0AED-404A-9292-C7C196DF8B09}"/>
              </c:ext>
            </c:extLst>
          </c:dPt>
          <c:dPt>
            <c:idx val="6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0AED-404A-9292-C7C196DF8B09}"/>
              </c:ext>
            </c:extLst>
          </c:dPt>
          <c:dPt>
            <c:idx val="6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0AED-404A-9292-C7C196DF8B09}"/>
              </c:ext>
            </c:extLst>
          </c:dPt>
          <c:dPt>
            <c:idx val="6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0AED-404A-9292-C7C196DF8B09}"/>
              </c:ext>
            </c:extLst>
          </c:dPt>
          <c:dPt>
            <c:idx val="6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0AED-404A-9292-C7C196DF8B09}"/>
              </c:ext>
            </c:extLst>
          </c:dPt>
          <c:dPt>
            <c:idx val="6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0AED-404A-9292-C7C196DF8B09}"/>
              </c:ext>
            </c:extLst>
          </c:dPt>
          <c:dPt>
            <c:idx val="6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0AED-404A-9292-C7C196DF8B09}"/>
              </c:ext>
            </c:extLst>
          </c:dPt>
          <c:dPt>
            <c:idx val="6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0AED-404A-9292-C7C196DF8B09}"/>
              </c:ext>
            </c:extLst>
          </c:dPt>
          <c:dPt>
            <c:idx val="6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0AED-404A-9292-C7C196DF8B09}"/>
              </c:ext>
            </c:extLst>
          </c:dPt>
          <c:dPt>
            <c:idx val="6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0AED-404A-9292-C7C196DF8B09}"/>
              </c:ext>
            </c:extLst>
          </c:dPt>
          <c:dPt>
            <c:idx val="7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0AED-404A-9292-C7C196DF8B09}"/>
              </c:ext>
            </c:extLst>
          </c:dPt>
          <c:dPt>
            <c:idx val="7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0AED-404A-9292-C7C196DF8B09}"/>
              </c:ext>
            </c:extLst>
          </c:dPt>
          <c:dPt>
            <c:idx val="7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0AED-404A-9292-C7C196DF8B09}"/>
              </c:ext>
            </c:extLst>
          </c:dPt>
          <c:dPt>
            <c:idx val="7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0AED-404A-9292-C7C196DF8B09}"/>
              </c:ext>
            </c:extLst>
          </c:dPt>
          <c:dPt>
            <c:idx val="7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0AED-404A-9292-C7C196DF8B09}"/>
              </c:ext>
            </c:extLst>
          </c:dPt>
          <c:dPt>
            <c:idx val="7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0AED-404A-9292-C7C196DF8B09}"/>
              </c:ext>
            </c:extLst>
          </c:dPt>
          <c:dPt>
            <c:idx val="7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0AED-404A-9292-C7C196DF8B09}"/>
              </c:ext>
            </c:extLst>
          </c:dPt>
          <c:dPt>
            <c:idx val="7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0AED-404A-9292-C7C196DF8B09}"/>
              </c:ext>
            </c:extLst>
          </c:dPt>
          <c:dPt>
            <c:idx val="7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0AED-404A-9292-C7C196DF8B09}"/>
              </c:ext>
            </c:extLst>
          </c:dPt>
          <c:dPt>
            <c:idx val="7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0AED-404A-9292-C7C196DF8B09}"/>
              </c:ext>
            </c:extLst>
          </c:dPt>
          <c:dPt>
            <c:idx val="8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0AED-404A-9292-C7C196DF8B09}"/>
              </c:ext>
            </c:extLst>
          </c:dPt>
          <c:dPt>
            <c:idx val="8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0AED-404A-9292-C7C196DF8B09}"/>
              </c:ext>
            </c:extLst>
          </c:dPt>
          <c:dPt>
            <c:idx val="8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0AED-404A-9292-C7C196DF8B09}"/>
              </c:ext>
            </c:extLst>
          </c:dPt>
          <c:dPt>
            <c:idx val="8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0AED-404A-9292-C7C196DF8B09}"/>
              </c:ext>
            </c:extLst>
          </c:dPt>
          <c:dPt>
            <c:idx val="8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0AED-404A-9292-C7C196DF8B09}"/>
              </c:ext>
            </c:extLst>
          </c:dPt>
          <c:dPt>
            <c:idx val="8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0AED-404A-9292-C7C196DF8B09}"/>
              </c:ext>
            </c:extLst>
          </c:dPt>
          <c:dPt>
            <c:idx val="8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0AED-404A-9292-C7C196DF8B09}"/>
              </c:ext>
            </c:extLst>
          </c:dPt>
          <c:dPt>
            <c:idx val="8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0AED-404A-9292-C7C196DF8B09}"/>
              </c:ext>
            </c:extLst>
          </c:dPt>
          <c:dPt>
            <c:idx val="8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0AED-404A-9292-C7C196DF8B09}"/>
              </c:ext>
            </c:extLst>
          </c:dPt>
          <c:dPt>
            <c:idx val="8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0AED-404A-9292-C7C196DF8B09}"/>
              </c:ext>
            </c:extLst>
          </c:dPt>
          <c:dPt>
            <c:idx val="9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0AED-404A-9292-C7C196DF8B09}"/>
              </c:ext>
            </c:extLst>
          </c:dPt>
          <c:dPt>
            <c:idx val="9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0AED-404A-9292-C7C196DF8B09}"/>
              </c:ext>
            </c:extLst>
          </c:dPt>
          <c:dPt>
            <c:idx val="9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0AED-404A-9292-C7C196DF8B09}"/>
              </c:ext>
            </c:extLst>
          </c:dPt>
          <c:dPt>
            <c:idx val="9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0AED-404A-9292-C7C196DF8B09}"/>
              </c:ext>
            </c:extLst>
          </c:dPt>
          <c:dPt>
            <c:idx val="9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0AED-404A-9292-C7C196DF8B09}"/>
              </c:ext>
            </c:extLst>
          </c:dPt>
          <c:dPt>
            <c:idx val="9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0AED-404A-9292-C7C196DF8B09}"/>
              </c:ext>
            </c:extLst>
          </c:dPt>
          <c:dPt>
            <c:idx val="9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0AED-404A-9292-C7C196DF8B09}"/>
              </c:ext>
            </c:extLst>
          </c:dPt>
          <c:dPt>
            <c:idx val="9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0AED-404A-9292-C7C196DF8B09}"/>
              </c:ext>
            </c:extLst>
          </c:dPt>
          <c:dPt>
            <c:idx val="9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0AED-404A-9292-C7C196DF8B09}"/>
              </c:ext>
            </c:extLst>
          </c:dPt>
          <c:dPt>
            <c:idx val="9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0AED-404A-9292-C7C196DF8B09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F71-4374-86B0-B8EB6D12499D}"/>
              </c:ext>
            </c:extLst>
          </c:dPt>
          <c:val>
            <c:numRef>
              <c:f>Dashboard!$AM$5:$AM$105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71-4374-86B0-B8EB6D124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1"/>
      </c:doughnutChart>
      <c:doughnutChart>
        <c:varyColors val="1"/>
        <c:ser>
          <c:idx val="1"/>
          <c:order val="1"/>
          <c:tx>
            <c:strRef>
              <c:f>Dashboard!$AN$4</c:f>
              <c:strCache>
                <c:ptCount val="1"/>
                <c:pt idx="0">
                  <c:v>Colour (Pro)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B-0AED-404A-9292-C7C196DF8B09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D-0AED-404A-9292-C7C196DF8B09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F-0AED-404A-9292-C7C196DF8B09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1-0AED-404A-9292-C7C196DF8B09}"/>
              </c:ext>
            </c:extLst>
          </c:dPt>
          <c:dPt>
            <c:idx val="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3-0AED-404A-9292-C7C196DF8B09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5-0AED-404A-9292-C7C196DF8B09}"/>
              </c:ext>
            </c:extLst>
          </c:dPt>
          <c:dPt>
            <c:idx val="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7-0AED-404A-9292-C7C196DF8B09}"/>
              </c:ext>
            </c:extLst>
          </c:dPt>
          <c:dPt>
            <c:idx val="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9-0AED-404A-9292-C7C196DF8B09}"/>
              </c:ext>
            </c:extLst>
          </c:dPt>
          <c:dPt>
            <c:idx val="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B-0AED-404A-9292-C7C196DF8B09}"/>
              </c:ext>
            </c:extLst>
          </c:dPt>
          <c:dPt>
            <c:idx val="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D-0AED-404A-9292-C7C196DF8B09}"/>
              </c:ext>
            </c:extLst>
          </c:dPt>
          <c:dPt>
            <c:idx val="1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F-0AED-404A-9292-C7C196DF8B0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1-0AED-404A-9292-C7C196DF8B09}"/>
              </c:ext>
            </c:extLst>
          </c:dPt>
          <c:dPt>
            <c:idx val="1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3-0AED-404A-9292-C7C196DF8B0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5-0AED-404A-9292-C7C196DF8B09}"/>
              </c:ext>
            </c:extLst>
          </c:dPt>
          <c:dPt>
            <c:idx val="1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7-0AED-404A-9292-C7C196DF8B09}"/>
              </c:ext>
            </c:extLst>
          </c:dPt>
          <c:dPt>
            <c:idx val="1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9-0AED-404A-9292-C7C196DF8B09}"/>
              </c:ext>
            </c:extLst>
          </c:dPt>
          <c:dPt>
            <c:idx val="1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B-0AED-404A-9292-C7C196DF8B0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D-0AED-404A-9292-C7C196DF8B09}"/>
              </c:ext>
            </c:extLst>
          </c:dPt>
          <c:dPt>
            <c:idx val="1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F-0AED-404A-9292-C7C196DF8B09}"/>
              </c:ext>
            </c:extLst>
          </c:dPt>
          <c:dPt>
            <c:idx val="1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1-0AED-404A-9292-C7C196DF8B09}"/>
              </c:ext>
            </c:extLst>
          </c:dPt>
          <c:dPt>
            <c:idx val="2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3-0AED-404A-9292-C7C196DF8B09}"/>
              </c:ext>
            </c:extLst>
          </c:dPt>
          <c:dPt>
            <c:idx val="2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5-0AED-404A-9292-C7C196DF8B09}"/>
              </c:ext>
            </c:extLst>
          </c:dPt>
          <c:dPt>
            <c:idx val="2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7-0AED-404A-9292-C7C196DF8B09}"/>
              </c:ext>
            </c:extLst>
          </c:dPt>
          <c:dPt>
            <c:idx val="2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9-0AED-404A-9292-C7C196DF8B09}"/>
              </c:ext>
            </c:extLst>
          </c:dPt>
          <c:dPt>
            <c:idx val="2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B-0AED-404A-9292-C7C196DF8B09}"/>
              </c:ext>
            </c:extLst>
          </c:dPt>
          <c:dPt>
            <c:idx val="2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D-0AED-404A-9292-C7C196DF8B09}"/>
              </c:ext>
            </c:extLst>
          </c:dPt>
          <c:dPt>
            <c:idx val="2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F-0AED-404A-9292-C7C196DF8B09}"/>
              </c:ext>
            </c:extLst>
          </c:dPt>
          <c:dPt>
            <c:idx val="2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1-0AED-404A-9292-C7C196DF8B09}"/>
              </c:ext>
            </c:extLst>
          </c:dPt>
          <c:dPt>
            <c:idx val="2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3-0AED-404A-9292-C7C196DF8B09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5-0AED-404A-9292-C7C196DF8B09}"/>
              </c:ext>
            </c:extLst>
          </c:dPt>
          <c:dPt>
            <c:idx val="3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7-0AED-404A-9292-C7C196DF8B09}"/>
              </c:ext>
            </c:extLst>
          </c:dPt>
          <c:dPt>
            <c:idx val="3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9-0AED-404A-9292-C7C196DF8B09}"/>
              </c:ext>
            </c:extLst>
          </c:dPt>
          <c:dPt>
            <c:idx val="3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B-0AED-404A-9292-C7C196DF8B09}"/>
              </c:ext>
            </c:extLst>
          </c:dPt>
          <c:dPt>
            <c:idx val="3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D-0AED-404A-9292-C7C196DF8B09}"/>
              </c:ext>
            </c:extLst>
          </c:dPt>
          <c:dPt>
            <c:idx val="3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F-0AED-404A-9292-C7C196DF8B09}"/>
              </c:ext>
            </c:extLst>
          </c:dPt>
          <c:dPt>
            <c:idx val="3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1-0AED-404A-9292-C7C196DF8B09}"/>
              </c:ext>
            </c:extLst>
          </c:dPt>
          <c:dPt>
            <c:idx val="3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3-0AED-404A-9292-C7C196DF8B09}"/>
              </c:ext>
            </c:extLst>
          </c:dPt>
          <c:dPt>
            <c:idx val="3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5-0AED-404A-9292-C7C196DF8B09}"/>
              </c:ext>
            </c:extLst>
          </c:dPt>
          <c:dPt>
            <c:idx val="3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7-0AED-404A-9292-C7C196DF8B09}"/>
              </c:ext>
            </c:extLst>
          </c:dPt>
          <c:dPt>
            <c:idx val="3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9-0AED-404A-9292-C7C196DF8B09}"/>
              </c:ext>
            </c:extLst>
          </c:dPt>
          <c:dPt>
            <c:idx val="4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B-0AED-404A-9292-C7C196DF8B09}"/>
              </c:ext>
            </c:extLst>
          </c:dPt>
          <c:dPt>
            <c:idx val="4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D-0AED-404A-9292-C7C196DF8B09}"/>
              </c:ext>
            </c:extLst>
          </c:dPt>
          <c:dPt>
            <c:idx val="4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F-0AED-404A-9292-C7C196DF8B09}"/>
              </c:ext>
            </c:extLst>
          </c:dPt>
          <c:dPt>
            <c:idx val="4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1-0AED-404A-9292-C7C196DF8B09}"/>
              </c:ext>
            </c:extLst>
          </c:dPt>
          <c:dPt>
            <c:idx val="4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3-0AED-404A-9292-C7C196DF8B09}"/>
              </c:ext>
            </c:extLst>
          </c:dPt>
          <c:dPt>
            <c:idx val="4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5-0AED-404A-9292-C7C196DF8B09}"/>
              </c:ext>
            </c:extLst>
          </c:dPt>
          <c:dPt>
            <c:idx val="4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7-0AED-404A-9292-C7C196DF8B09}"/>
              </c:ext>
            </c:extLst>
          </c:dPt>
          <c:dPt>
            <c:idx val="4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9-0AED-404A-9292-C7C196DF8B09}"/>
              </c:ext>
            </c:extLst>
          </c:dPt>
          <c:dPt>
            <c:idx val="4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B-0AED-404A-9292-C7C196DF8B09}"/>
              </c:ext>
            </c:extLst>
          </c:dPt>
          <c:dPt>
            <c:idx val="4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D-0AED-404A-9292-C7C196DF8B09}"/>
              </c:ext>
            </c:extLst>
          </c:dPt>
          <c:dPt>
            <c:idx val="5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F-0AED-404A-9292-C7C196DF8B09}"/>
              </c:ext>
            </c:extLst>
          </c:dPt>
          <c:dPt>
            <c:idx val="5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1-0AED-404A-9292-C7C196DF8B09}"/>
              </c:ext>
            </c:extLst>
          </c:dPt>
          <c:dPt>
            <c:idx val="5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3-0AED-404A-9292-C7C196DF8B09}"/>
              </c:ext>
            </c:extLst>
          </c:dPt>
          <c:dPt>
            <c:idx val="5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5-0AED-404A-9292-C7C196DF8B09}"/>
              </c:ext>
            </c:extLst>
          </c:dPt>
          <c:dPt>
            <c:idx val="5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7-0AED-404A-9292-C7C196DF8B09}"/>
              </c:ext>
            </c:extLst>
          </c:dPt>
          <c:dPt>
            <c:idx val="5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9-0AED-404A-9292-C7C196DF8B09}"/>
              </c:ext>
            </c:extLst>
          </c:dPt>
          <c:dPt>
            <c:idx val="5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B-0AED-404A-9292-C7C196DF8B09}"/>
              </c:ext>
            </c:extLst>
          </c:dPt>
          <c:dPt>
            <c:idx val="5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D-0AED-404A-9292-C7C196DF8B09}"/>
              </c:ext>
            </c:extLst>
          </c:dPt>
          <c:dPt>
            <c:idx val="5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F-0AED-404A-9292-C7C196DF8B09}"/>
              </c:ext>
            </c:extLst>
          </c:dPt>
          <c:dPt>
            <c:idx val="5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1-0AED-404A-9292-C7C196DF8B09}"/>
              </c:ext>
            </c:extLst>
          </c:dPt>
          <c:dPt>
            <c:idx val="6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3-0AED-404A-9292-C7C196DF8B09}"/>
              </c:ext>
            </c:extLst>
          </c:dPt>
          <c:dPt>
            <c:idx val="6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5-0AED-404A-9292-C7C196DF8B09}"/>
              </c:ext>
            </c:extLst>
          </c:dPt>
          <c:dPt>
            <c:idx val="6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7-0AED-404A-9292-C7C196DF8B09}"/>
              </c:ext>
            </c:extLst>
          </c:dPt>
          <c:dPt>
            <c:idx val="6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9-0AED-404A-9292-C7C196DF8B09}"/>
              </c:ext>
            </c:extLst>
          </c:dPt>
          <c:dPt>
            <c:idx val="6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B-0AED-404A-9292-C7C196DF8B09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D-0AED-404A-9292-C7C196DF8B09}"/>
              </c:ext>
            </c:extLst>
          </c:dPt>
          <c:dPt>
            <c:idx val="6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F-0AED-404A-9292-C7C196DF8B09}"/>
              </c:ext>
            </c:extLst>
          </c:dPt>
          <c:dPt>
            <c:idx val="6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1-0AED-404A-9292-C7C196DF8B09}"/>
              </c:ext>
            </c:extLst>
          </c:dPt>
          <c:dPt>
            <c:idx val="6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3-0AED-404A-9292-C7C196DF8B09}"/>
              </c:ext>
            </c:extLst>
          </c:dPt>
          <c:dPt>
            <c:idx val="6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5-0AED-404A-9292-C7C196DF8B09}"/>
              </c:ext>
            </c:extLst>
          </c:dPt>
          <c:dPt>
            <c:idx val="7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7-0AED-404A-9292-C7C196DF8B09}"/>
              </c:ext>
            </c:extLst>
          </c:dPt>
          <c:dPt>
            <c:idx val="7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9-0AED-404A-9292-C7C196DF8B09}"/>
              </c:ext>
            </c:extLst>
          </c:dPt>
          <c:dPt>
            <c:idx val="7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B-0AED-404A-9292-C7C196DF8B09}"/>
              </c:ext>
            </c:extLst>
          </c:dPt>
          <c:dPt>
            <c:idx val="7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D-0AED-404A-9292-C7C196DF8B09}"/>
              </c:ext>
            </c:extLst>
          </c:dPt>
          <c:dPt>
            <c:idx val="7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F-0AED-404A-9292-C7C196DF8B09}"/>
              </c:ext>
            </c:extLst>
          </c:dPt>
          <c:dPt>
            <c:idx val="7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1-0AED-404A-9292-C7C196DF8B09}"/>
              </c:ext>
            </c:extLst>
          </c:dPt>
          <c:dPt>
            <c:idx val="7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3-0AED-404A-9292-C7C196DF8B09}"/>
              </c:ext>
            </c:extLst>
          </c:dPt>
          <c:dPt>
            <c:idx val="7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5-0AED-404A-9292-C7C196DF8B09}"/>
              </c:ext>
            </c:extLst>
          </c:dPt>
          <c:dPt>
            <c:idx val="7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7-0AED-404A-9292-C7C196DF8B09}"/>
              </c:ext>
            </c:extLst>
          </c:dPt>
          <c:dPt>
            <c:idx val="7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9-0AED-404A-9292-C7C196DF8B09}"/>
              </c:ext>
            </c:extLst>
          </c:dPt>
          <c:dPt>
            <c:idx val="8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B-0AED-404A-9292-C7C196DF8B09}"/>
              </c:ext>
            </c:extLst>
          </c:dPt>
          <c:dPt>
            <c:idx val="8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D-0AED-404A-9292-C7C196DF8B09}"/>
              </c:ext>
            </c:extLst>
          </c:dPt>
          <c:dPt>
            <c:idx val="8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F-0AED-404A-9292-C7C196DF8B09}"/>
              </c:ext>
            </c:extLst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1-0AED-404A-9292-C7C196DF8B09}"/>
              </c:ext>
            </c:extLst>
          </c:dPt>
          <c:dPt>
            <c:idx val="8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3-0AED-404A-9292-C7C196DF8B09}"/>
              </c:ext>
            </c:extLst>
          </c:dPt>
          <c:dPt>
            <c:idx val="8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5-0AED-404A-9292-C7C196DF8B09}"/>
              </c:ext>
            </c:extLst>
          </c:dPt>
          <c:dPt>
            <c:idx val="8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7-0AED-404A-9292-C7C196DF8B09}"/>
              </c:ext>
            </c:extLst>
          </c:dPt>
          <c:dPt>
            <c:idx val="8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9-0AED-404A-9292-C7C196DF8B09}"/>
              </c:ext>
            </c:extLst>
          </c:dPt>
          <c:dPt>
            <c:idx val="8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B-0AED-404A-9292-C7C196DF8B09}"/>
              </c:ext>
            </c:extLst>
          </c:dPt>
          <c:dPt>
            <c:idx val="8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D-0AED-404A-9292-C7C196DF8B09}"/>
              </c:ext>
            </c:extLst>
          </c:dPt>
          <c:dPt>
            <c:idx val="9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F-0AED-404A-9292-C7C196DF8B09}"/>
              </c:ext>
            </c:extLst>
          </c:dPt>
          <c:dPt>
            <c:idx val="9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1-0AED-404A-9292-C7C196DF8B09}"/>
              </c:ext>
            </c:extLst>
          </c:dPt>
          <c:dPt>
            <c:idx val="9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3-0AED-404A-9292-C7C196DF8B09}"/>
              </c:ext>
            </c:extLst>
          </c:dPt>
          <c:dPt>
            <c:idx val="9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5-0AED-404A-9292-C7C196DF8B09}"/>
              </c:ext>
            </c:extLst>
          </c:dPt>
          <c:dPt>
            <c:idx val="9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7-0AED-404A-9292-C7C196DF8B09}"/>
              </c:ext>
            </c:extLst>
          </c:dPt>
          <c:dPt>
            <c:idx val="9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9-0AED-404A-9292-C7C196DF8B09}"/>
              </c:ext>
            </c:extLst>
          </c:dPt>
          <c:dPt>
            <c:idx val="9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B-0AED-404A-9292-C7C196DF8B09}"/>
              </c:ext>
            </c:extLst>
          </c:dPt>
          <c:dPt>
            <c:idx val="9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D-0AED-404A-9292-C7C196DF8B09}"/>
              </c:ext>
            </c:extLst>
          </c:dPt>
          <c:dPt>
            <c:idx val="9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F-0AED-404A-9292-C7C196DF8B09}"/>
              </c:ext>
            </c:extLst>
          </c:dPt>
          <c:dPt>
            <c:idx val="9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1-0AED-404A-9292-C7C196DF8B09}"/>
              </c:ext>
            </c:extLst>
          </c:dPt>
          <c:dPt>
            <c:idx val="100"/>
            <c:bubble3D val="0"/>
            <c:explosion val="1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F71-4374-86B0-B8EB6D12499D}"/>
              </c:ext>
            </c:extLst>
          </c:dPt>
          <c:val>
            <c:numRef>
              <c:f>Dashboard!$AN$5:$AN$105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 formatCode="0.00">
                  <c:v>174.69849771143146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71-4374-86B0-B8EB6D124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/>
              <a:t>TODAY'S</a:t>
            </a:r>
          </a:p>
          <a:p>
            <a:pPr>
              <a:defRPr/>
            </a:pPr>
            <a:r>
              <a:rPr lang="en-US" sz="1400" b="1"/>
              <a:t>ESKOM</a:t>
            </a:r>
            <a:r>
              <a:rPr lang="en-US" sz="1400" b="1" baseline="0"/>
              <a:t> PURCHASE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Dashboard!$AM$4</c:f>
              <c:strCache>
                <c:ptCount val="1"/>
                <c:pt idx="0">
                  <c:v>Grey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dPt>
            <c:idx val="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2AC-4BB1-A468-0C8D7DCE1241}"/>
              </c:ext>
            </c:extLst>
          </c:dPt>
          <c:dPt>
            <c:idx val="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2AC-4BB1-A468-0C8D7DCE1241}"/>
              </c:ext>
            </c:extLst>
          </c:dPt>
          <c:dPt>
            <c:idx val="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2AC-4BB1-A468-0C8D7DCE1241}"/>
              </c:ext>
            </c:extLst>
          </c:dPt>
          <c:dPt>
            <c:idx val="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2AC-4BB1-A468-0C8D7DCE1241}"/>
              </c:ext>
            </c:extLst>
          </c:dPt>
          <c:dPt>
            <c:idx val="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2AC-4BB1-A468-0C8D7DCE1241}"/>
              </c:ext>
            </c:extLst>
          </c:dPt>
          <c:dPt>
            <c:idx val="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2AC-4BB1-A468-0C8D7DCE1241}"/>
              </c:ext>
            </c:extLst>
          </c:dPt>
          <c:dPt>
            <c:idx val="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2AC-4BB1-A468-0C8D7DCE1241}"/>
              </c:ext>
            </c:extLst>
          </c:dPt>
          <c:dPt>
            <c:idx val="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2AC-4BB1-A468-0C8D7DCE1241}"/>
              </c:ext>
            </c:extLst>
          </c:dPt>
          <c:dPt>
            <c:idx val="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2AC-4BB1-A468-0C8D7DCE1241}"/>
              </c:ext>
            </c:extLst>
          </c:dPt>
          <c:dPt>
            <c:idx val="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2AC-4BB1-A468-0C8D7DCE1241}"/>
              </c:ext>
            </c:extLst>
          </c:dPt>
          <c:dPt>
            <c:idx val="1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2AC-4BB1-A468-0C8D7DCE1241}"/>
              </c:ext>
            </c:extLst>
          </c:dPt>
          <c:dPt>
            <c:idx val="1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2AC-4BB1-A468-0C8D7DCE1241}"/>
              </c:ext>
            </c:extLst>
          </c:dPt>
          <c:dPt>
            <c:idx val="1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2AC-4BB1-A468-0C8D7DCE1241}"/>
              </c:ext>
            </c:extLst>
          </c:dPt>
          <c:dPt>
            <c:idx val="1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2AC-4BB1-A468-0C8D7DCE1241}"/>
              </c:ext>
            </c:extLst>
          </c:dPt>
          <c:dPt>
            <c:idx val="1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C2AC-4BB1-A468-0C8D7DCE1241}"/>
              </c:ext>
            </c:extLst>
          </c:dPt>
          <c:dPt>
            <c:idx val="1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C2AC-4BB1-A468-0C8D7DCE1241}"/>
              </c:ext>
            </c:extLst>
          </c:dPt>
          <c:dPt>
            <c:idx val="1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C2AC-4BB1-A468-0C8D7DCE1241}"/>
              </c:ext>
            </c:extLst>
          </c:dPt>
          <c:dPt>
            <c:idx val="1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C2AC-4BB1-A468-0C8D7DCE1241}"/>
              </c:ext>
            </c:extLst>
          </c:dPt>
          <c:dPt>
            <c:idx val="1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C2AC-4BB1-A468-0C8D7DCE1241}"/>
              </c:ext>
            </c:extLst>
          </c:dPt>
          <c:dPt>
            <c:idx val="1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C2AC-4BB1-A468-0C8D7DCE1241}"/>
              </c:ext>
            </c:extLst>
          </c:dPt>
          <c:dPt>
            <c:idx val="2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C2AC-4BB1-A468-0C8D7DCE1241}"/>
              </c:ext>
            </c:extLst>
          </c:dPt>
          <c:dPt>
            <c:idx val="2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C2AC-4BB1-A468-0C8D7DCE1241}"/>
              </c:ext>
            </c:extLst>
          </c:dPt>
          <c:dPt>
            <c:idx val="2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C2AC-4BB1-A468-0C8D7DCE1241}"/>
              </c:ext>
            </c:extLst>
          </c:dPt>
          <c:dPt>
            <c:idx val="2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C2AC-4BB1-A468-0C8D7DCE1241}"/>
              </c:ext>
            </c:extLst>
          </c:dPt>
          <c:dPt>
            <c:idx val="2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C2AC-4BB1-A468-0C8D7DCE1241}"/>
              </c:ext>
            </c:extLst>
          </c:dPt>
          <c:dPt>
            <c:idx val="2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C2AC-4BB1-A468-0C8D7DCE1241}"/>
              </c:ext>
            </c:extLst>
          </c:dPt>
          <c:dPt>
            <c:idx val="2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C2AC-4BB1-A468-0C8D7DCE1241}"/>
              </c:ext>
            </c:extLst>
          </c:dPt>
          <c:dPt>
            <c:idx val="2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C2AC-4BB1-A468-0C8D7DCE1241}"/>
              </c:ext>
            </c:extLst>
          </c:dPt>
          <c:dPt>
            <c:idx val="2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C2AC-4BB1-A468-0C8D7DCE1241}"/>
              </c:ext>
            </c:extLst>
          </c:dPt>
          <c:dPt>
            <c:idx val="2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C2AC-4BB1-A468-0C8D7DCE1241}"/>
              </c:ext>
            </c:extLst>
          </c:dPt>
          <c:dPt>
            <c:idx val="3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C2AC-4BB1-A468-0C8D7DCE1241}"/>
              </c:ext>
            </c:extLst>
          </c:dPt>
          <c:dPt>
            <c:idx val="3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C2AC-4BB1-A468-0C8D7DCE1241}"/>
              </c:ext>
            </c:extLst>
          </c:dPt>
          <c:dPt>
            <c:idx val="3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C2AC-4BB1-A468-0C8D7DCE1241}"/>
              </c:ext>
            </c:extLst>
          </c:dPt>
          <c:dPt>
            <c:idx val="3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C2AC-4BB1-A468-0C8D7DCE1241}"/>
              </c:ext>
            </c:extLst>
          </c:dPt>
          <c:dPt>
            <c:idx val="3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C2AC-4BB1-A468-0C8D7DCE1241}"/>
              </c:ext>
            </c:extLst>
          </c:dPt>
          <c:dPt>
            <c:idx val="3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C2AC-4BB1-A468-0C8D7DCE1241}"/>
              </c:ext>
            </c:extLst>
          </c:dPt>
          <c:dPt>
            <c:idx val="3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C2AC-4BB1-A468-0C8D7DCE1241}"/>
              </c:ext>
            </c:extLst>
          </c:dPt>
          <c:dPt>
            <c:idx val="3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C2AC-4BB1-A468-0C8D7DCE1241}"/>
              </c:ext>
            </c:extLst>
          </c:dPt>
          <c:dPt>
            <c:idx val="3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C2AC-4BB1-A468-0C8D7DCE1241}"/>
              </c:ext>
            </c:extLst>
          </c:dPt>
          <c:dPt>
            <c:idx val="3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C2AC-4BB1-A468-0C8D7DCE1241}"/>
              </c:ext>
            </c:extLst>
          </c:dPt>
          <c:dPt>
            <c:idx val="4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C2AC-4BB1-A468-0C8D7DCE1241}"/>
              </c:ext>
            </c:extLst>
          </c:dPt>
          <c:dPt>
            <c:idx val="4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C2AC-4BB1-A468-0C8D7DCE1241}"/>
              </c:ext>
            </c:extLst>
          </c:dPt>
          <c:dPt>
            <c:idx val="4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C2AC-4BB1-A468-0C8D7DCE1241}"/>
              </c:ext>
            </c:extLst>
          </c:dPt>
          <c:dPt>
            <c:idx val="4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C2AC-4BB1-A468-0C8D7DCE1241}"/>
              </c:ext>
            </c:extLst>
          </c:dPt>
          <c:dPt>
            <c:idx val="4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C2AC-4BB1-A468-0C8D7DCE1241}"/>
              </c:ext>
            </c:extLst>
          </c:dPt>
          <c:dPt>
            <c:idx val="4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C2AC-4BB1-A468-0C8D7DCE1241}"/>
              </c:ext>
            </c:extLst>
          </c:dPt>
          <c:dPt>
            <c:idx val="4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C2AC-4BB1-A468-0C8D7DCE1241}"/>
              </c:ext>
            </c:extLst>
          </c:dPt>
          <c:dPt>
            <c:idx val="4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C2AC-4BB1-A468-0C8D7DCE1241}"/>
              </c:ext>
            </c:extLst>
          </c:dPt>
          <c:dPt>
            <c:idx val="4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C2AC-4BB1-A468-0C8D7DCE1241}"/>
              </c:ext>
            </c:extLst>
          </c:dPt>
          <c:dPt>
            <c:idx val="4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C2AC-4BB1-A468-0C8D7DCE1241}"/>
              </c:ext>
            </c:extLst>
          </c:dPt>
          <c:dPt>
            <c:idx val="5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C2AC-4BB1-A468-0C8D7DCE1241}"/>
              </c:ext>
            </c:extLst>
          </c:dPt>
          <c:dPt>
            <c:idx val="5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C2AC-4BB1-A468-0C8D7DCE1241}"/>
              </c:ext>
            </c:extLst>
          </c:dPt>
          <c:dPt>
            <c:idx val="5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C2AC-4BB1-A468-0C8D7DCE1241}"/>
              </c:ext>
            </c:extLst>
          </c:dPt>
          <c:dPt>
            <c:idx val="5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C2AC-4BB1-A468-0C8D7DCE1241}"/>
              </c:ext>
            </c:extLst>
          </c:dPt>
          <c:dPt>
            <c:idx val="5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C2AC-4BB1-A468-0C8D7DCE1241}"/>
              </c:ext>
            </c:extLst>
          </c:dPt>
          <c:dPt>
            <c:idx val="5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C2AC-4BB1-A468-0C8D7DCE1241}"/>
              </c:ext>
            </c:extLst>
          </c:dPt>
          <c:dPt>
            <c:idx val="5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C2AC-4BB1-A468-0C8D7DCE1241}"/>
              </c:ext>
            </c:extLst>
          </c:dPt>
          <c:dPt>
            <c:idx val="5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C2AC-4BB1-A468-0C8D7DCE1241}"/>
              </c:ext>
            </c:extLst>
          </c:dPt>
          <c:dPt>
            <c:idx val="5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C2AC-4BB1-A468-0C8D7DCE1241}"/>
              </c:ext>
            </c:extLst>
          </c:dPt>
          <c:dPt>
            <c:idx val="5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C2AC-4BB1-A468-0C8D7DCE1241}"/>
              </c:ext>
            </c:extLst>
          </c:dPt>
          <c:dPt>
            <c:idx val="6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C2AC-4BB1-A468-0C8D7DCE1241}"/>
              </c:ext>
            </c:extLst>
          </c:dPt>
          <c:dPt>
            <c:idx val="6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C2AC-4BB1-A468-0C8D7DCE1241}"/>
              </c:ext>
            </c:extLst>
          </c:dPt>
          <c:dPt>
            <c:idx val="6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C2AC-4BB1-A468-0C8D7DCE1241}"/>
              </c:ext>
            </c:extLst>
          </c:dPt>
          <c:dPt>
            <c:idx val="6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C2AC-4BB1-A468-0C8D7DCE1241}"/>
              </c:ext>
            </c:extLst>
          </c:dPt>
          <c:dPt>
            <c:idx val="6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C2AC-4BB1-A468-0C8D7DCE1241}"/>
              </c:ext>
            </c:extLst>
          </c:dPt>
          <c:dPt>
            <c:idx val="6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C2AC-4BB1-A468-0C8D7DCE1241}"/>
              </c:ext>
            </c:extLst>
          </c:dPt>
          <c:dPt>
            <c:idx val="6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C2AC-4BB1-A468-0C8D7DCE1241}"/>
              </c:ext>
            </c:extLst>
          </c:dPt>
          <c:dPt>
            <c:idx val="6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C2AC-4BB1-A468-0C8D7DCE1241}"/>
              </c:ext>
            </c:extLst>
          </c:dPt>
          <c:dPt>
            <c:idx val="6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C2AC-4BB1-A468-0C8D7DCE1241}"/>
              </c:ext>
            </c:extLst>
          </c:dPt>
          <c:dPt>
            <c:idx val="6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C2AC-4BB1-A468-0C8D7DCE1241}"/>
              </c:ext>
            </c:extLst>
          </c:dPt>
          <c:dPt>
            <c:idx val="7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C2AC-4BB1-A468-0C8D7DCE1241}"/>
              </c:ext>
            </c:extLst>
          </c:dPt>
          <c:dPt>
            <c:idx val="7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C2AC-4BB1-A468-0C8D7DCE1241}"/>
              </c:ext>
            </c:extLst>
          </c:dPt>
          <c:dPt>
            <c:idx val="7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C2AC-4BB1-A468-0C8D7DCE1241}"/>
              </c:ext>
            </c:extLst>
          </c:dPt>
          <c:dPt>
            <c:idx val="7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C2AC-4BB1-A468-0C8D7DCE1241}"/>
              </c:ext>
            </c:extLst>
          </c:dPt>
          <c:dPt>
            <c:idx val="7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C2AC-4BB1-A468-0C8D7DCE1241}"/>
              </c:ext>
            </c:extLst>
          </c:dPt>
          <c:dPt>
            <c:idx val="7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C2AC-4BB1-A468-0C8D7DCE1241}"/>
              </c:ext>
            </c:extLst>
          </c:dPt>
          <c:dPt>
            <c:idx val="7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C2AC-4BB1-A468-0C8D7DCE1241}"/>
              </c:ext>
            </c:extLst>
          </c:dPt>
          <c:dPt>
            <c:idx val="7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C2AC-4BB1-A468-0C8D7DCE1241}"/>
              </c:ext>
            </c:extLst>
          </c:dPt>
          <c:dPt>
            <c:idx val="7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C2AC-4BB1-A468-0C8D7DCE1241}"/>
              </c:ext>
            </c:extLst>
          </c:dPt>
          <c:dPt>
            <c:idx val="7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C2AC-4BB1-A468-0C8D7DCE1241}"/>
              </c:ext>
            </c:extLst>
          </c:dPt>
          <c:dPt>
            <c:idx val="8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C2AC-4BB1-A468-0C8D7DCE1241}"/>
              </c:ext>
            </c:extLst>
          </c:dPt>
          <c:dPt>
            <c:idx val="8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C2AC-4BB1-A468-0C8D7DCE1241}"/>
              </c:ext>
            </c:extLst>
          </c:dPt>
          <c:dPt>
            <c:idx val="8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C2AC-4BB1-A468-0C8D7DCE1241}"/>
              </c:ext>
            </c:extLst>
          </c:dPt>
          <c:dPt>
            <c:idx val="8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C2AC-4BB1-A468-0C8D7DCE1241}"/>
              </c:ext>
            </c:extLst>
          </c:dPt>
          <c:dPt>
            <c:idx val="8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C2AC-4BB1-A468-0C8D7DCE1241}"/>
              </c:ext>
            </c:extLst>
          </c:dPt>
          <c:dPt>
            <c:idx val="8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C2AC-4BB1-A468-0C8D7DCE1241}"/>
              </c:ext>
            </c:extLst>
          </c:dPt>
          <c:dPt>
            <c:idx val="8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C2AC-4BB1-A468-0C8D7DCE1241}"/>
              </c:ext>
            </c:extLst>
          </c:dPt>
          <c:dPt>
            <c:idx val="8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C2AC-4BB1-A468-0C8D7DCE1241}"/>
              </c:ext>
            </c:extLst>
          </c:dPt>
          <c:dPt>
            <c:idx val="8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C2AC-4BB1-A468-0C8D7DCE1241}"/>
              </c:ext>
            </c:extLst>
          </c:dPt>
          <c:dPt>
            <c:idx val="8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C2AC-4BB1-A468-0C8D7DCE1241}"/>
              </c:ext>
            </c:extLst>
          </c:dPt>
          <c:dPt>
            <c:idx val="9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C2AC-4BB1-A468-0C8D7DCE1241}"/>
              </c:ext>
            </c:extLst>
          </c:dPt>
          <c:dPt>
            <c:idx val="9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C2AC-4BB1-A468-0C8D7DCE1241}"/>
              </c:ext>
            </c:extLst>
          </c:dPt>
          <c:dPt>
            <c:idx val="9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C2AC-4BB1-A468-0C8D7DCE1241}"/>
              </c:ext>
            </c:extLst>
          </c:dPt>
          <c:dPt>
            <c:idx val="9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C2AC-4BB1-A468-0C8D7DCE1241}"/>
              </c:ext>
            </c:extLst>
          </c:dPt>
          <c:dPt>
            <c:idx val="9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C2AC-4BB1-A468-0C8D7DCE1241}"/>
              </c:ext>
            </c:extLst>
          </c:dPt>
          <c:dPt>
            <c:idx val="9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C2AC-4BB1-A468-0C8D7DCE1241}"/>
              </c:ext>
            </c:extLst>
          </c:dPt>
          <c:dPt>
            <c:idx val="9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C2AC-4BB1-A468-0C8D7DCE1241}"/>
              </c:ext>
            </c:extLst>
          </c:dPt>
          <c:dPt>
            <c:idx val="9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C2AC-4BB1-A468-0C8D7DCE1241}"/>
              </c:ext>
            </c:extLst>
          </c:dPt>
          <c:dPt>
            <c:idx val="9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C2AC-4BB1-A468-0C8D7DCE1241}"/>
              </c:ext>
            </c:extLst>
          </c:dPt>
          <c:dPt>
            <c:idx val="9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C2AC-4BB1-A468-0C8D7DCE1241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773-48F8-B2F6-9781C0C51317}"/>
              </c:ext>
            </c:extLst>
          </c:dPt>
          <c:val>
            <c:numRef>
              <c:f>Dashboard!$AM$5:$AM$105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73-48F8-B2F6-9781C0C51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0"/>
      </c:doughnutChart>
      <c:doughnutChart>
        <c:varyColors val="1"/>
        <c:ser>
          <c:idx val="1"/>
          <c:order val="1"/>
          <c:tx>
            <c:strRef>
              <c:f>Dashboard!$AO$4</c:f>
              <c:strCache>
                <c:ptCount val="1"/>
                <c:pt idx="0">
                  <c:v>Colour (Con)</c:v>
                </c:pt>
              </c:strCache>
            </c:strRef>
          </c:tx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B-C2AC-4BB1-A468-0C8D7DCE124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D-C2AC-4BB1-A468-0C8D7DCE1241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F-C2AC-4BB1-A468-0C8D7DCE1241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1-C2AC-4BB1-A468-0C8D7DCE1241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3-C2AC-4BB1-A468-0C8D7DCE1241}"/>
              </c:ext>
            </c:extLst>
          </c:dPt>
          <c:dPt>
            <c:idx val="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5-C2AC-4BB1-A468-0C8D7DCE1241}"/>
              </c:ext>
            </c:extLst>
          </c:dPt>
          <c:dPt>
            <c:idx val="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7-C2AC-4BB1-A468-0C8D7DCE1241}"/>
              </c:ext>
            </c:extLst>
          </c:dPt>
          <c:dPt>
            <c:idx val="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9-C2AC-4BB1-A468-0C8D7DCE124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B-C2AC-4BB1-A468-0C8D7DCE1241}"/>
              </c:ext>
            </c:extLst>
          </c:dPt>
          <c:dPt>
            <c:idx val="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D-C2AC-4BB1-A468-0C8D7DCE1241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F-C2AC-4BB1-A468-0C8D7DCE1241}"/>
              </c:ext>
            </c:extLst>
          </c:dPt>
          <c:dPt>
            <c:idx val="1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1-C2AC-4BB1-A468-0C8D7DCE1241}"/>
              </c:ext>
            </c:extLst>
          </c:dPt>
          <c:dPt>
            <c:idx val="1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3-C2AC-4BB1-A468-0C8D7DCE1241}"/>
              </c:ext>
            </c:extLst>
          </c:dPt>
          <c:dPt>
            <c:idx val="1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5-C2AC-4BB1-A468-0C8D7DCE1241}"/>
              </c:ext>
            </c:extLst>
          </c:dPt>
          <c:dPt>
            <c:idx val="1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7-C2AC-4BB1-A468-0C8D7DCE1241}"/>
              </c:ext>
            </c:extLst>
          </c:dPt>
          <c:dPt>
            <c:idx val="1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9-C2AC-4BB1-A468-0C8D7DCE1241}"/>
              </c:ext>
            </c:extLst>
          </c:dPt>
          <c:dPt>
            <c:idx val="1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B-C2AC-4BB1-A468-0C8D7DCE1241}"/>
              </c:ext>
            </c:extLst>
          </c:dPt>
          <c:dPt>
            <c:idx val="1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D-C2AC-4BB1-A468-0C8D7DCE1241}"/>
              </c:ext>
            </c:extLst>
          </c:dPt>
          <c:dPt>
            <c:idx val="1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F-C2AC-4BB1-A468-0C8D7DCE1241}"/>
              </c:ext>
            </c:extLst>
          </c:dPt>
          <c:dPt>
            <c:idx val="1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1-C2AC-4BB1-A468-0C8D7DCE1241}"/>
              </c:ext>
            </c:extLst>
          </c:dPt>
          <c:dPt>
            <c:idx val="2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3-C2AC-4BB1-A468-0C8D7DCE1241}"/>
              </c:ext>
            </c:extLst>
          </c:dPt>
          <c:dPt>
            <c:idx val="2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5-C2AC-4BB1-A468-0C8D7DCE1241}"/>
              </c:ext>
            </c:extLst>
          </c:dPt>
          <c:dPt>
            <c:idx val="2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7-C2AC-4BB1-A468-0C8D7DCE1241}"/>
              </c:ext>
            </c:extLst>
          </c:dPt>
          <c:dPt>
            <c:idx val="2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9-C2AC-4BB1-A468-0C8D7DCE1241}"/>
              </c:ext>
            </c:extLst>
          </c:dPt>
          <c:dPt>
            <c:idx val="2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B-C2AC-4BB1-A468-0C8D7DCE1241}"/>
              </c:ext>
            </c:extLst>
          </c:dPt>
          <c:dPt>
            <c:idx val="2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D-C2AC-4BB1-A468-0C8D7DCE1241}"/>
              </c:ext>
            </c:extLst>
          </c:dPt>
          <c:dPt>
            <c:idx val="2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F-C2AC-4BB1-A468-0C8D7DCE1241}"/>
              </c:ext>
            </c:extLst>
          </c:dPt>
          <c:dPt>
            <c:idx val="2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1-C2AC-4BB1-A468-0C8D7DCE1241}"/>
              </c:ext>
            </c:extLst>
          </c:dPt>
          <c:dPt>
            <c:idx val="2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3-C2AC-4BB1-A468-0C8D7DCE1241}"/>
              </c:ext>
            </c:extLst>
          </c:dPt>
          <c:dPt>
            <c:idx val="2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5-C2AC-4BB1-A468-0C8D7DCE1241}"/>
              </c:ext>
            </c:extLst>
          </c:dPt>
          <c:dPt>
            <c:idx val="3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7-C2AC-4BB1-A468-0C8D7DCE1241}"/>
              </c:ext>
            </c:extLst>
          </c:dPt>
          <c:dPt>
            <c:idx val="3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9-C2AC-4BB1-A468-0C8D7DCE1241}"/>
              </c:ext>
            </c:extLst>
          </c:dPt>
          <c:dPt>
            <c:idx val="3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B-C2AC-4BB1-A468-0C8D7DCE1241}"/>
              </c:ext>
            </c:extLst>
          </c:dPt>
          <c:dPt>
            <c:idx val="3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D-C2AC-4BB1-A468-0C8D7DCE1241}"/>
              </c:ext>
            </c:extLst>
          </c:dPt>
          <c:dPt>
            <c:idx val="3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F-C2AC-4BB1-A468-0C8D7DCE1241}"/>
              </c:ext>
            </c:extLst>
          </c:dPt>
          <c:dPt>
            <c:idx val="3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1-C2AC-4BB1-A468-0C8D7DCE1241}"/>
              </c:ext>
            </c:extLst>
          </c:dPt>
          <c:dPt>
            <c:idx val="3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3-C2AC-4BB1-A468-0C8D7DCE1241}"/>
              </c:ext>
            </c:extLst>
          </c:dPt>
          <c:dPt>
            <c:idx val="3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5-C2AC-4BB1-A468-0C8D7DCE1241}"/>
              </c:ext>
            </c:extLst>
          </c:dPt>
          <c:dPt>
            <c:idx val="3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7-C2AC-4BB1-A468-0C8D7DCE1241}"/>
              </c:ext>
            </c:extLst>
          </c:dPt>
          <c:dPt>
            <c:idx val="3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9-C2AC-4BB1-A468-0C8D7DCE1241}"/>
              </c:ext>
            </c:extLst>
          </c:dPt>
          <c:dPt>
            <c:idx val="4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B-C2AC-4BB1-A468-0C8D7DCE1241}"/>
              </c:ext>
            </c:extLst>
          </c:dPt>
          <c:dPt>
            <c:idx val="4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D-C2AC-4BB1-A468-0C8D7DCE1241}"/>
              </c:ext>
            </c:extLst>
          </c:dPt>
          <c:dPt>
            <c:idx val="4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F-C2AC-4BB1-A468-0C8D7DCE1241}"/>
              </c:ext>
            </c:extLst>
          </c:dPt>
          <c:dPt>
            <c:idx val="4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1-C2AC-4BB1-A468-0C8D7DCE1241}"/>
              </c:ext>
            </c:extLst>
          </c:dPt>
          <c:dPt>
            <c:idx val="4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3-C2AC-4BB1-A468-0C8D7DCE1241}"/>
              </c:ext>
            </c:extLst>
          </c:dPt>
          <c:dPt>
            <c:idx val="4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5-C2AC-4BB1-A468-0C8D7DCE1241}"/>
              </c:ext>
            </c:extLst>
          </c:dPt>
          <c:dPt>
            <c:idx val="4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7-C2AC-4BB1-A468-0C8D7DCE1241}"/>
              </c:ext>
            </c:extLst>
          </c:dPt>
          <c:dPt>
            <c:idx val="4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9-C2AC-4BB1-A468-0C8D7DCE1241}"/>
              </c:ext>
            </c:extLst>
          </c:dPt>
          <c:dPt>
            <c:idx val="4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B-C2AC-4BB1-A468-0C8D7DCE1241}"/>
              </c:ext>
            </c:extLst>
          </c:dPt>
          <c:dPt>
            <c:idx val="4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D-C2AC-4BB1-A468-0C8D7DCE1241}"/>
              </c:ext>
            </c:extLst>
          </c:dPt>
          <c:dPt>
            <c:idx val="5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F-C2AC-4BB1-A468-0C8D7DCE1241}"/>
              </c:ext>
            </c:extLst>
          </c:dPt>
          <c:dPt>
            <c:idx val="5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1-C2AC-4BB1-A468-0C8D7DCE1241}"/>
              </c:ext>
            </c:extLst>
          </c:dPt>
          <c:dPt>
            <c:idx val="5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3-C2AC-4BB1-A468-0C8D7DCE1241}"/>
              </c:ext>
            </c:extLst>
          </c:dPt>
          <c:dPt>
            <c:idx val="5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5-C2AC-4BB1-A468-0C8D7DCE1241}"/>
              </c:ext>
            </c:extLst>
          </c:dPt>
          <c:dPt>
            <c:idx val="5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7-C2AC-4BB1-A468-0C8D7DCE1241}"/>
              </c:ext>
            </c:extLst>
          </c:dPt>
          <c:dPt>
            <c:idx val="5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9-C2AC-4BB1-A468-0C8D7DCE1241}"/>
              </c:ext>
            </c:extLst>
          </c:dPt>
          <c:dPt>
            <c:idx val="5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B-C2AC-4BB1-A468-0C8D7DCE1241}"/>
              </c:ext>
            </c:extLst>
          </c:dPt>
          <c:dPt>
            <c:idx val="5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D-C2AC-4BB1-A468-0C8D7DCE1241}"/>
              </c:ext>
            </c:extLst>
          </c:dPt>
          <c:dPt>
            <c:idx val="5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F-C2AC-4BB1-A468-0C8D7DCE1241}"/>
              </c:ext>
            </c:extLst>
          </c:dPt>
          <c:dPt>
            <c:idx val="5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1-C2AC-4BB1-A468-0C8D7DCE1241}"/>
              </c:ext>
            </c:extLst>
          </c:dPt>
          <c:dPt>
            <c:idx val="6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3-C2AC-4BB1-A468-0C8D7DCE1241}"/>
              </c:ext>
            </c:extLst>
          </c:dPt>
          <c:dPt>
            <c:idx val="6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5-C2AC-4BB1-A468-0C8D7DCE1241}"/>
              </c:ext>
            </c:extLst>
          </c:dPt>
          <c:dPt>
            <c:idx val="6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7-C2AC-4BB1-A468-0C8D7DCE1241}"/>
              </c:ext>
            </c:extLst>
          </c:dPt>
          <c:dPt>
            <c:idx val="6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9-C2AC-4BB1-A468-0C8D7DCE1241}"/>
              </c:ext>
            </c:extLst>
          </c:dPt>
          <c:dPt>
            <c:idx val="6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B-C2AC-4BB1-A468-0C8D7DCE1241}"/>
              </c:ext>
            </c:extLst>
          </c:dPt>
          <c:dPt>
            <c:idx val="6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D-C2AC-4BB1-A468-0C8D7DCE1241}"/>
              </c:ext>
            </c:extLst>
          </c:dPt>
          <c:dPt>
            <c:idx val="6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F-C2AC-4BB1-A468-0C8D7DCE1241}"/>
              </c:ext>
            </c:extLst>
          </c:dPt>
          <c:dPt>
            <c:idx val="6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1-C2AC-4BB1-A468-0C8D7DCE1241}"/>
              </c:ext>
            </c:extLst>
          </c:dPt>
          <c:dPt>
            <c:idx val="6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3-C2AC-4BB1-A468-0C8D7DCE1241}"/>
              </c:ext>
            </c:extLst>
          </c:dPt>
          <c:dPt>
            <c:idx val="6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5-C2AC-4BB1-A468-0C8D7DCE1241}"/>
              </c:ext>
            </c:extLst>
          </c:dPt>
          <c:dPt>
            <c:idx val="7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7-C2AC-4BB1-A468-0C8D7DCE1241}"/>
              </c:ext>
            </c:extLst>
          </c:dPt>
          <c:dPt>
            <c:idx val="7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9-C2AC-4BB1-A468-0C8D7DCE1241}"/>
              </c:ext>
            </c:extLst>
          </c:dPt>
          <c:dPt>
            <c:idx val="7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B-C2AC-4BB1-A468-0C8D7DCE1241}"/>
              </c:ext>
            </c:extLst>
          </c:dPt>
          <c:dPt>
            <c:idx val="7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D-C2AC-4BB1-A468-0C8D7DCE1241}"/>
              </c:ext>
            </c:extLst>
          </c:dPt>
          <c:dPt>
            <c:idx val="7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F-C2AC-4BB1-A468-0C8D7DCE1241}"/>
              </c:ext>
            </c:extLst>
          </c:dPt>
          <c:dPt>
            <c:idx val="7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1-C2AC-4BB1-A468-0C8D7DCE1241}"/>
              </c:ext>
            </c:extLst>
          </c:dPt>
          <c:dPt>
            <c:idx val="7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3-C2AC-4BB1-A468-0C8D7DCE1241}"/>
              </c:ext>
            </c:extLst>
          </c:dPt>
          <c:dPt>
            <c:idx val="7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5-C2AC-4BB1-A468-0C8D7DCE1241}"/>
              </c:ext>
            </c:extLst>
          </c:dPt>
          <c:dPt>
            <c:idx val="7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7-C2AC-4BB1-A468-0C8D7DCE1241}"/>
              </c:ext>
            </c:extLst>
          </c:dPt>
          <c:dPt>
            <c:idx val="7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9-C2AC-4BB1-A468-0C8D7DCE1241}"/>
              </c:ext>
            </c:extLst>
          </c:dPt>
          <c:dPt>
            <c:idx val="8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B-C2AC-4BB1-A468-0C8D7DCE1241}"/>
              </c:ext>
            </c:extLst>
          </c:dPt>
          <c:dPt>
            <c:idx val="8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D-C2AC-4BB1-A468-0C8D7DCE1241}"/>
              </c:ext>
            </c:extLst>
          </c:dPt>
          <c:dPt>
            <c:idx val="8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F-C2AC-4BB1-A468-0C8D7DCE1241}"/>
              </c:ext>
            </c:extLst>
          </c:dPt>
          <c:dPt>
            <c:idx val="8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1-C2AC-4BB1-A468-0C8D7DCE1241}"/>
              </c:ext>
            </c:extLst>
          </c:dPt>
          <c:dPt>
            <c:idx val="8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3-C2AC-4BB1-A468-0C8D7DCE1241}"/>
              </c:ext>
            </c:extLst>
          </c:dPt>
          <c:dPt>
            <c:idx val="8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5-C2AC-4BB1-A468-0C8D7DCE1241}"/>
              </c:ext>
            </c:extLst>
          </c:dPt>
          <c:dPt>
            <c:idx val="8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7-C2AC-4BB1-A468-0C8D7DCE1241}"/>
              </c:ext>
            </c:extLst>
          </c:dPt>
          <c:dPt>
            <c:idx val="8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9-C2AC-4BB1-A468-0C8D7DCE1241}"/>
              </c:ext>
            </c:extLst>
          </c:dPt>
          <c:dPt>
            <c:idx val="8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B-C2AC-4BB1-A468-0C8D7DCE1241}"/>
              </c:ext>
            </c:extLst>
          </c:dPt>
          <c:dPt>
            <c:idx val="8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D-C2AC-4BB1-A468-0C8D7DCE1241}"/>
              </c:ext>
            </c:extLst>
          </c:dPt>
          <c:dPt>
            <c:idx val="9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F-C2AC-4BB1-A468-0C8D7DCE1241}"/>
              </c:ext>
            </c:extLst>
          </c:dPt>
          <c:dPt>
            <c:idx val="9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1-C2AC-4BB1-A468-0C8D7DCE1241}"/>
              </c:ext>
            </c:extLst>
          </c:dPt>
          <c:dPt>
            <c:idx val="9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3-C2AC-4BB1-A468-0C8D7DCE1241}"/>
              </c:ext>
            </c:extLst>
          </c:dPt>
          <c:dPt>
            <c:idx val="9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5-C2AC-4BB1-A468-0C8D7DCE1241}"/>
              </c:ext>
            </c:extLst>
          </c:dPt>
          <c:dPt>
            <c:idx val="9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7-C2AC-4BB1-A468-0C8D7DCE1241}"/>
              </c:ext>
            </c:extLst>
          </c:dPt>
          <c:dPt>
            <c:idx val="9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9-C2AC-4BB1-A468-0C8D7DCE1241}"/>
              </c:ext>
            </c:extLst>
          </c:dPt>
          <c:dPt>
            <c:idx val="9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B-C2AC-4BB1-A468-0C8D7DCE1241}"/>
              </c:ext>
            </c:extLst>
          </c:dPt>
          <c:dPt>
            <c:idx val="9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D-C2AC-4BB1-A468-0C8D7DCE1241}"/>
              </c:ext>
            </c:extLst>
          </c:dPt>
          <c:dPt>
            <c:idx val="9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F-C2AC-4BB1-A468-0C8D7DCE1241}"/>
              </c:ext>
            </c:extLst>
          </c:dPt>
          <c:dPt>
            <c:idx val="9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1-C2AC-4BB1-A468-0C8D7DCE1241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773-48F8-B2F6-9781C0C51317}"/>
              </c:ext>
            </c:extLst>
          </c:dPt>
          <c:val>
            <c:numRef>
              <c:f>Dashboard!$AO$5:$AO$105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125.30150228856854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73-48F8-B2F6-9781C0C51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THIS MONTH'S</a:t>
            </a:r>
            <a:r>
              <a:rPr lang="en-US" b="1" baseline="0"/>
              <a:t> </a:t>
            </a:r>
          </a:p>
          <a:p>
            <a:pPr>
              <a:defRPr/>
            </a:pPr>
            <a:r>
              <a:rPr lang="en-US" b="1"/>
              <a:t>SOLAR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Dashboard!$AH$4</c:f>
              <c:strCache>
                <c:ptCount val="1"/>
                <c:pt idx="0">
                  <c:v>Grey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</c:spPr>
          <c:dPt>
            <c:idx val="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FDC-4A24-ABF5-205B831F7CA2}"/>
              </c:ext>
            </c:extLst>
          </c:dPt>
          <c:dPt>
            <c:idx val="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FDC-4A24-ABF5-205B831F7CA2}"/>
              </c:ext>
            </c:extLst>
          </c:dPt>
          <c:dPt>
            <c:idx val="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FDC-4A24-ABF5-205B831F7CA2}"/>
              </c:ext>
            </c:extLst>
          </c:dPt>
          <c:dPt>
            <c:idx val="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FDC-4A24-ABF5-205B831F7CA2}"/>
              </c:ext>
            </c:extLst>
          </c:dPt>
          <c:dPt>
            <c:idx val="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FDC-4A24-ABF5-205B831F7CA2}"/>
              </c:ext>
            </c:extLst>
          </c:dPt>
          <c:dPt>
            <c:idx val="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FDC-4A24-ABF5-205B831F7CA2}"/>
              </c:ext>
            </c:extLst>
          </c:dPt>
          <c:dPt>
            <c:idx val="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FDC-4A24-ABF5-205B831F7CA2}"/>
              </c:ext>
            </c:extLst>
          </c:dPt>
          <c:dPt>
            <c:idx val="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FDC-4A24-ABF5-205B831F7CA2}"/>
              </c:ext>
            </c:extLst>
          </c:dPt>
          <c:dPt>
            <c:idx val="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3FDC-4A24-ABF5-205B831F7CA2}"/>
              </c:ext>
            </c:extLst>
          </c:dPt>
          <c:dPt>
            <c:idx val="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3FDC-4A24-ABF5-205B831F7CA2}"/>
              </c:ext>
            </c:extLst>
          </c:dPt>
          <c:dPt>
            <c:idx val="1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3FDC-4A24-ABF5-205B831F7CA2}"/>
              </c:ext>
            </c:extLst>
          </c:dPt>
          <c:dPt>
            <c:idx val="1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3FDC-4A24-ABF5-205B831F7CA2}"/>
              </c:ext>
            </c:extLst>
          </c:dPt>
          <c:dPt>
            <c:idx val="1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3FDC-4A24-ABF5-205B831F7CA2}"/>
              </c:ext>
            </c:extLst>
          </c:dPt>
          <c:dPt>
            <c:idx val="1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3FDC-4A24-ABF5-205B831F7CA2}"/>
              </c:ext>
            </c:extLst>
          </c:dPt>
          <c:dPt>
            <c:idx val="1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3FDC-4A24-ABF5-205B831F7CA2}"/>
              </c:ext>
            </c:extLst>
          </c:dPt>
          <c:dPt>
            <c:idx val="1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3FDC-4A24-ABF5-205B831F7CA2}"/>
              </c:ext>
            </c:extLst>
          </c:dPt>
          <c:dPt>
            <c:idx val="1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3FDC-4A24-ABF5-205B831F7CA2}"/>
              </c:ext>
            </c:extLst>
          </c:dPt>
          <c:dPt>
            <c:idx val="1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3FDC-4A24-ABF5-205B831F7CA2}"/>
              </c:ext>
            </c:extLst>
          </c:dPt>
          <c:dPt>
            <c:idx val="1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3FDC-4A24-ABF5-205B831F7CA2}"/>
              </c:ext>
            </c:extLst>
          </c:dPt>
          <c:dPt>
            <c:idx val="1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3FDC-4A24-ABF5-205B831F7CA2}"/>
              </c:ext>
            </c:extLst>
          </c:dPt>
          <c:dPt>
            <c:idx val="2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3FDC-4A24-ABF5-205B831F7CA2}"/>
              </c:ext>
            </c:extLst>
          </c:dPt>
          <c:dPt>
            <c:idx val="2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3FDC-4A24-ABF5-205B831F7CA2}"/>
              </c:ext>
            </c:extLst>
          </c:dPt>
          <c:dPt>
            <c:idx val="2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3FDC-4A24-ABF5-205B831F7CA2}"/>
              </c:ext>
            </c:extLst>
          </c:dPt>
          <c:dPt>
            <c:idx val="2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3FDC-4A24-ABF5-205B831F7CA2}"/>
              </c:ext>
            </c:extLst>
          </c:dPt>
          <c:dPt>
            <c:idx val="2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3FDC-4A24-ABF5-205B831F7CA2}"/>
              </c:ext>
            </c:extLst>
          </c:dPt>
          <c:dPt>
            <c:idx val="2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3FDC-4A24-ABF5-205B831F7CA2}"/>
              </c:ext>
            </c:extLst>
          </c:dPt>
          <c:dPt>
            <c:idx val="2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3FDC-4A24-ABF5-205B831F7CA2}"/>
              </c:ext>
            </c:extLst>
          </c:dPt>
          <c:dPt>
            <c:idx val="2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3FDC-4A24-ABF5-205B831F7CA2}"/>
              </c:ext>
            </c:extLst>
          </c:dPt>
          <c:dPt>
            <c:idx val="2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3FDC-4A24-ABF5-205B831F7CA2}"/>
              </c:ext>
            </c:extLst>
          </c:dPt>
          <c:dPt>
            <c:idx val="2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3FDC-4A24-ABF5-205B831F7CA2}"/>
              </c:ext>
            </c:extLst>
          </c:dPt>
          <c:dPt>
            <c:idx val="3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3FDC-4A24-ABF5-205B831F7CA2}"/>
              </c:ext>
            </c:extLst>
          </c:dPt>
          <c:dPt>
            <c:idx val="3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3FDC-4A24-ABF5-205B831F7CA2}"/>
              </c:ext>
            </c:extLst>
          </c:dPt>
          <c:dPt>
            <c:idx val="3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3FDC-4A24-ABF5-205B831F7CA2}"/>
              </c:ext>
            </c:extLst>
          </c:dPt>
          <c:dPt>
            <c:idx val="3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3FDC-4A24-ABF5-205B831F7CA2}"/>
              </c:ext>
            </c:extLst>
          </c:dPt>
          <c:dPt>
            <c:idx val="3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3FDC-4A24-ABF5-205B831F7CA2}"/>
              </c:ext>
            </c:extLst>
          </c:dPt>
          <c:dPt>
            <c:idx val="3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3FDC-4A24-ABF5-205B831F7CA2}"/>
              </c:ext>
            </c:extLst>
          </c:dPt>
          <c:dPt>
            <c:idx val="3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3FDC-4A24-ABF5-205B831F7CA2}"/>
              </c:ext>
            </c:extLst>
          </c:dPt>
          <c:dPt>
            <c:idx val="3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3FDC-4A24-ABF5-205B831F7CA2}"/>
              </c:ext>
            </c:extLst>
          </c:dPt>
          <c:dPt>
            <c:idx val="3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3FDC-4A24-ABF5-205B831F7CA2}"/>
              </c:ext>
            </c:extLst>
          </c:dPt>
          <c:dPt>
            <c:idx val="3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3FDC-4A24-ABF5-205B831F7CA2}"/>
              </c:ext>
            </c:extLst>
          </c:dPt>
          <c:dPt>
            <c:idx val="4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3FDC-4A24-ABF5-205B831F7CA2}"/>
              </c:ext>
            </c:extLst>
          </c:dPt>
          <c:dPt>
            <c:idx val="4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3FDC-4A24-ABF5-205B831F7CA2}"/>
              </c:ext>
            </c:extLst>
          </c:dPt>
          <c:dPt>
            <c:idx val="4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3FDC-4A24-ABF5-205B831F7CA2}"/>
              </c:ext>
            </c:extLst>
          </c:dPt>
          <c:dPt>
            <c:idx val="4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3FDC-4A24-ABF5-205B831F7CA2}"/>
              </c:ext>
            </c:extLst>
          </c:dPt>
          <c:dPt>
            <c:idx val="4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3FDC-4A24-ABF5-205B831F7CA2}"/>
              </c:ext>
            </c:extLst>
          </c:dPt>
          <c:dPt>
            <c:idx val="4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3FDC-4A24-ABF5-205B831F7CA2}"/>
              </c:ext>
            </c:extLst>
          </c:dPt>
          <c:dPt>
            <c:idx val="4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3FDC-4A24-ABF5-205B831F7CA2}"/>
              </c:ext>
            </c:extLst>
          </c:dPt>
          <c:dPt>
            <c:idx val="4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3FDC-4A24-ABF5-205B831F7CA2}"/>
              </c:ext>
            </c:extLst>
          </c:dPt>
          <c:dPt>
            <c:idx val="4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3FDC-4A24-ABF5-205B831F7CA2}"/>
              </c:ext>
            </c:extLst>
          </c:dPt>
          <c:dPt>
            <c:idx val="4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3FDC-4A24-ABF5-205B831F7CA2}"/>
              </c:ext>
            </c:extLst>
          </c:dPt>
          <c:dPt>
            <c:idx val="5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3FDC-4A24-ABF5-205B831F7CA2}"/>
              </c:ext>
            </c:extLst>
          </c:dPt>
          <c:dPt>
            <c:idx val="5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3FDC-4A24-ABF5-205B831F7CA2}"/>
              </c:ext>
            </c:extLst>
          </c:dPt>
          <c:dPt>
            <c:idx val="5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3FDC-4A24-ABF5-205B831F7CA2}"/>
              </c:ext>
            </c:extLst>
          </c:dPt>
          <c:dPt>
            <c:idx val="5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3FDC-4A24-ABF5-205B831F7CA2}"/>
              </c:ext>
            </c:extLst>
          </c:dPt>
          <c:dPt>
            <c:idx val="5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3FDC-4A24-ABF5-205B831F7CA2}"/>
              </c:ext>
            </c:extLst>
          </c:dPt>
          <c:dPt>
            <c:idx val="5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3FDC-4A24-ABF5-205B831F7CA2}"/>
              </c:ext>
            </c:extLst>
          </c:dPt>
          <c:dPt>
            <c:idx val="5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3FDC-4A24-ABF5-205B831F7CA2}"/>
              </c:ext>
            </c:extLst>
          </c:dPt>
          <c:dPt>
            <c:idx val="5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3FDC-4A24-ABF5-205B831F7CA2}"/>
              </c:ext>
            </c:extLst>
          </c:dPt>
          <c:dPt>
            <c:idx val="5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3FDC-4A24-ABF5-205B831F7CA2}"/>
              </c:ext>
            </c:extLst>
          </c:dPt>
          <c:dPt>
            <c:idx val="5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3FDC-4A24-ABF5-205B831F7CA2}"/>
              </c:ext>
            </c:extLst>
          </c:dPt>
          <c:dPt>
            <c:idx val="6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3FDC-4A24-ABF5-205B831F7CA2}"/>
              </c:ext>
            </c:extLst>
          </c:dPt>
          <c:dPt>
            <c:idx val="6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3FDC-4A24-ABF5-205B831F7CA2}"/>
              </c:ext>
            </c:extLst>
          </c:dPt>
          <c:dPt>
            <c:idx val="6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3FDC-4A24-ABF5-205B831F7CA2}"/>
              </c:ext>
            </c:extLst>
          </c:dPt>
          <c:dPt>
            <c:idx val="6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3FDC-4A24-ABF5-205B831F7CA2}"/>
              </c:ext>
            </c:extLst>
          </c:dPt>
          <c:dPt>
            <c:idx val="6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3FDC-4A24-ABF5-205B831F7CA2}"/>
              </c:ext>
            </c:extLst>
          </c:dPt>
          <c:dPt>
            <c:idx val="6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3FDC-4A24-ABF5-205B831F7CA2}"/>
              </c:ext>
            </c:extLst>
          </c:dPt>
          <c:dPt>
            <c:idx val="6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3FDC-4A24-ABF5-205B831F7CA2}"/>
              </c:ext>
            </c:extLst>
          </c:dPt>
          <c:dPt>
            <c:idx val="6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3FDC-4A24-ABF5-205B831F7CA2}"/>
              </c:ext>
            </c:extLst>
          </c:dPt>
          <c:dPt>
            <c:idx val="6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3FDC-4A24-ABF5-205B831F7CA2}"/>
              </c:ext>
            </c:extLst>
          </c:dPt>
          <c:dPt>
            <c:idx val="6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3FDC-4A24-ABF5-205B831F7CA2}"/>
              </c:ext>
            </c:extLst>
          </c:dPt>
          <c:dPt>
            <c:idx val="7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3FDC-4A24-ABF5-205B831F7CA2}"/>
              </c:ext>
            </c:extLst>
          </c:dPt>
          <c:dPt>
            <c:idx val="7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3FDC-4A24-ABF5-205B831F7CA2}"/>
              </c:ext>
            </c:extLst>
          </c:dPt>
          <c:dPt>
            <c:idx val="7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3FDC-4A24-ABF5-205B831F7CA2}"/>
              </c:ext>
            </c:extLst>
          </c:dPt>
          <c:dPt>
            <c:idx val="7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3FDC-4A24-ABF5-205B831F7CA2}"/>
              </c:ext>
            </c:extLst>
          </c:dPt>
          <c:dPt>
            <c:idx val="7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3FDC-4A24-ABF5-205B831F7CA2}"/>
              </c:ext>
            </c:extLst>
          </c:dPt>
          <c:dPt>
            <c:idx val="7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3FDC-4A24-ABF5-205B831F7CA2}"/>
              </c:ext>
            </c:extLst>
          </c:dPt>
          <c:dPt>
            <c:idx val="7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3FDC-4A24-ABF5-205B831F7CA2}"/>
              </c:ext>
            </c:extLst>
          </c:dPt>
          <c:dPt>
            <c:idx val="7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3FDC-4A24-ABF5-205B831F7CA2}"/>
              </c:ext>
            </c:extLst>
          </c:dPt>
          <c:dPt>
            <c:idx val="7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3FDC-4A24-ABF5-205B831F7CA2}"/>
              </c:ext>
            </c:extLst>
          </c:dPt>
          <c:dPt>
            <c:idx val="7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3FDC-4A24-ABF5-205B831F7CA2}"/>
              </c:ext>
            </c:extLst>
          </c:dPt>
          <c:dPt>
            <c:idx val="8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3FDC-4A24-ABF5-205B831F7CA2}"/>
              </c:ext>
            </c:extLst>
          </c:dPt>
          <c:dPt>
            <c:idx val="8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3FDC-4A24-ABF5-205B831F7CA2}"/>
              </c:ext>
            </c:extLst>
          </c:dPt>
          <c:dPt>
            <c:idx val="8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3FDC-4A24-ABF5-205B831F7CA2}"/>
              </c:ext>
            </c:extLst>
          </c:dPt>
          <c:dPt>
            <c:idx val="8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3FDC-4A24-ABF5-205B831F7CA2}"/>
              </c:ext>
            </c:extLst>
          </c:dPt>
          <c:dPt>
            <c:idx val="8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3FDC-4A24-ABF5-205B831F7CA2}"/>
              </c:ext>
            </c:extLst>
          </c:dPt>
          <c:dPt>
            <c:idx val="8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3FDC-4A24-ABF5-205B831F7CA2}"/>
              </c:ext>
            </c:extLst>
          </c:dPt>
          <c:dPt>
            <c:idx val="8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3FDC-4A24-ABF5-205B831F7CA2}"/>
              </c:ext>
            </c:extLst>
          </c:dPt>
          <c:dPt>
            <c:idx val="8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3FDC-4A24-ABF5-205B831F7CA2}"/>
              </c:ext>
            </c:extLst>
          </c:dPt>
          <c:dPt>
            <c:idx val="8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3FDC-4A24-ABF5-205B831F7CA2}"/>
              </c:ext>
            </c:extLst>
          </c:dPt>
          <c:dPt>
            <c:idx val="8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3FDC-4A24-ABF5-205B831F7CA2}"/>
              </c:ext>
            </c:extLst>
          </c:dPt>
          <c:dPt>
            <c:idx val="9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3FDC-4A24-ABF5-205B831F7CA2}"/>
              </c:ext>
            </c:extLst>
          </c:dPt>
          <c:dPt>
            <c:idx val="9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3FDC-4A24-ABF5-205B831F7CA2}"/>
              </c:ext>
            </c:extLst>
          </c:dPt>
          <c:dPt>
            <c:idx val="9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3FDC-4A24-ABF5-205B831F7CA2}"/>
              </c:ext>
            </c:extLst>
          </c:dPt>
          <c:dPt>
            <c:idx val="9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3FDC-4A24-ABF5-205B831F7CA2}"/>
              </c:ext>
            </c:extLst>
          </c:dPt>
          <c:dPt>
            <c:idx val="9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3FDC-4A24-ABF5-205B831F7CA2}"/>
              </c:ext>
            </c:extLst>
          </c:dPt>
          <c:dPt>
            <c:idx val="9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3FDC-4A24-ABF5-205B831F7CA2}"/>
              </c:ext>
            </c:extLst>
          </c:dPt>
          <c:dPt>
            <c:idx val="9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3FDC-4A24-ABF5-205B831F7CA2}"/>
              </c:ext>
            </c:extLst>
          </c:dPt>
          <c:dPt>
            <c:idx val="9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3FDC-4A24-ABF5-205B831F7CA2}"/>
              </c:ext>
            </c:extLst>
          </c:dPt>
          <c:dPt>
            <c:idx val="9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3FDC-4A24-ABF5-205B831F7CA2}"/>
              </c:ext>
            </c:extLst>
          </c:dPt>
          <c:dPt>
            <c:idx val="9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3FDC-4A24-ABF5-205B831F7CA2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9-3FDC-4A24-ABF5-205B831F7CA2}"/>
              </c:ext>
            </c:extLst>
          </c:dPt>
          <c:val>
            <c:numRef>
              <c:f>Dashboard!$AH$5:$AH$105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CA-3FDC-4A24-ABF5-205B831F7C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1"/>
      </c:doughnutChart>
      <c:doughnutChart>
        <c:varyColors val="1"/>
        <c:ser>
          <c:idx val="1"/>
          <c:order val="1"/>
          <c:tx>
            <c:strRef>
              <c:f>Dashboard!$AI$4</c:f>
              <c:strCache>
                <c:ptCount val="1"/>
                <c:pt idx="0">
                  <c:v>Colour (Pro)</c:v>
                </c:pt>
              </c:strCache>
            </c:strRef>
          </c:tx>
          <c:spPr>
            <a:solidFill>
              <a:srgbClr val="92D050"/>
            </a:solidFill>
          </c:spPr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C-3FDC-4A24-ABF5-205B831F7CA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E-3FDC-4A24-ABF5-205B831F7CA2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0-3FDC-4A24-ABF5-205B831F7CA2}"/>
              </c:ext>
            </c:extLst>
          </c:dPt>
          <c:dPt>
            <c:idx val="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2-3FDC-4A24-ABF5-205B831F7CA2}"/>
              </c:ext>
            </c:extLst>
          </c:dPt>
          <c:dPt>
            <c:idx val="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4-3FDC-4A24-ABF5-205B831F7CA2}"/>
              </c:ext>
            </c:extLst>
          </c:dPt>
          <c:dPt>
            <c:idx val="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6-3FDC-4A24-ABF5-205B831F7CA2}"/>
              </c:ext>
            </c:extLst>
          </c:dPt>
          <c:dPt>
            <c:idx val="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8-3FDC-4A24-ABF5-205B831F7CA2}"/>
              </c:ext>
            </c:extLst>
          </c:dPt>
          <c:dPt>
            <c:idx val="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A-3FDC-4A24-ABF5-205B831F7CA2}"/>
              </c:ext>
            </c:extLst>
          </c:dPt>
          <c:dPt>
            <c:idx val="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C-3FDC-4A24-ABF5-205B831F7CA2}"/>
              </c:ext>
            </c:extLst>
          </c:dPt>
          <c:dPt>
            <c:idx val="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E-3FDC-4A24-ABF5-205B831F7CA2}"/>
              </c:ext>
            </c:extLst>
          </c:dPt>
          <c:dPt>
            <c:idx val="1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0-3FDC-4A24-ABF5-205B831F7CA2}"/>
              </c:ext>
            </c:extLst>
          </c:dPt>
          <c:dPt>
            <c:idx val="1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2-3FDC-4A24-ABF5-205B831F7CA2}"/>
              </c:ext>
            </c:extLst>
          </c:dPt>
          <c:dPt>
            <c:idx val="1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4-3FDC-4A24-ABF5-205B831F7CA2}"/>
              </c:ext>
            </c:extLst>
          </c:dPt>
          <c:dPt>
            <c:idx val="1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6-3FDC-4A24-ABF5-205B831F7CA2}"/>
              </c:ext>
            </c:extLst>
          </c:dPt>
          <c:dPt>
            <c:idx val="1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8-3FDC-4A24-ABF5-205B831F7CA2}"/>
              </c:ext>
            </c:extLst>
          </c:dPt>
          <c:dPt>
            <c:idx val="1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A-3FDC-4A24-ABF5-205B831F7CA2}"/>
              </c:ext>
            </c:extLst>
          </c:dPt>
          <c:dPt>
            <c:idx val="1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C-3FDC-4A24-ABF5-205B831F7CA2}"/>
              </c:ext>
            </c:extLst>
          </c:dPt>
          <c:dPt>
            <c:idx val="1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E-3FDC-4A24-ABF5-205B831F7CA2}"/>
              </c:ext>
            </c:extLst>
          </c:dPt>
          <c:dPt>
            <c:idx val="1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0-3FDC-4A24-ABF5-205B831F7CA2}"/>
              </c:ext>
            </c:extLst>
          </c:dPt>
          <c:dPt>
            <c:idx val="1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2-3FDC-4A24-ABF5-205B831F7CA2}"/>
              </c:ext>
            </c:extLst>
          </c:dPt>
          <c:dPt>
            <c:idx val="2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4-3FDC-4A24-ABF5-205B831F7CA2}"/>
              </c:ext>
            </c:extLst>
          </c:dPt>
          <c:dPt>
            <c:idx val="2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6-3FDC-4A24-ABF5-205B831F7CA2}"/>
              </c:ext>
            </c:extLst>
          </c:dPt>
          <c:dPt>
            <c:idx val="2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8-3FDC-4A24-ABF5-205B831F7CA2}"/>
              </c:ext>
            </c:extLst>
          </c:dPt>
          <c:dPt>
            <c:idx val="2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A-3FDC-4A24-ABF5-205B831F7CA2}"/>
              </c:ext>
            </c:extLst>
          </c:dPt>
          <c:dPt>
            <c:idx val="2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C-3FDC-4A24-ABF5-205B831F7CA2}"/>
              </c:ext>
            </c:extLst>
          </c:dPt>
          <c:dPt>
            <c:idx val="2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E-3FDC-4A24-ABF5-205B831F7CA2}"/>
              </c:ext>
            </c:extLst>
          </c:dPt>
          <c:dPt>
            <c:idx val="2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0-3FDC-4A24-ABF5-205B831F7CA2}"/>
              </c:ext>
            </c:extLst>
          </c:dPt>
          <c:dPt>
            <c:idx val="2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2-3FDC-4A24-ABF5-205B831F7CA2}"/>
              </c:ext>
            </c:extLst>
          </c:dPt>
          <c:dPt>
            <c:idx val="2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4-3FDC-4A24-ABF5-205B831F7CA2}"/>
              </c:ext>
            </c:extLst>
          </c:dPt>
          <c:dPt>
            <c:idx val="2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6-3FDC-4A24-ABF5-205B831F7CA2}"/>
              </c:ext>
            </c:extLst>
          </c:dPt>
          <c:dPt>
            <c:idx val="3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8-3FDC-4A24-ABF5-205B831F7CA2}"/>
              </c:ext>
            </c:extLst>
          </c:dPt>
          <c:dPt>
            <c:idx val="3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A-3FDC-4A24-ABF5-205B831F7CA2}"/>
              </c:ext>
            </c:extLst>
          </c:dPt>
          <c:dPt>
            <c:idx val="3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C-3FDC-4A24-ABF5-205B831F7CA2}"/>
              </c:ext>
            </c:extLst>
          </c:dPt>
          <c:dPt>
            <c:idx val="3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E-3FDC-4A24-ABF5-205B831F7CA2}"/>
              </c:ext>
            </c:extLst>
          </c:dPt>
          <c:dPt>
            <c:idx val="3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0-3FDC-4A24-ABF5-205B831F7CA2}"/>
              </c:ext>
            </c:extLst>
          </c:dPt>
          <c:dPt>
            <c:idx val="3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2-3FDC-4A24-ABF5-205B831F7CA2}"/>
              </c:ext>
            </c:extLst>
          </c:dPt>
          <c:dPt>
            <c:idx val="3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4-3FDC-4A24-ABF5-205B831F7CA2}"/>
              </c:ext>
            </c:extLst>
          </c:dPt>
          <c:dPt>
            <c:idx val="3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6-3FDC-4A24-ABF5-205B831F7CA2}"/>
              </c:ext>
            </c:extLst>
          </c:dPt>
          <c:dPt>
            <c:idx val="3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8-3FDC-4A24-ABF5-205B831F7CA2}"/>
              </c:ext>
            </c:extLst>
          </c:dPt>
          <c:dPt>
            <c:idx val="3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A-3FDC-4A24-ABF5-205B831F7CA2}"/>
              </c:ext>
            </c:extLst>
          </c:dPt>
          <c:dPt>
            <c:idx val="4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C-3FDC-4A24-ABF5-205B831F7CA2}"/>
              </c:ext>
            </c:extLst>
          </c:dPt>
          <c:dPt>
            <c:idx val="4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E-3FDC-4A24-ABF5-205B831F7CA2}"/>
              </c:ext>
            </c:extLst>
          </c:dPt>
          <c:dPt>
            <c:idx val="4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0-3FDC-4A24-ABF5-205B831F7CA2}"/>
              </c:ext>
            </c:extLst>
          </c:dPt>
          <c:dPt>
            <c:idx val="4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2-3FDC-4A24-ABF5-205B831F7CA2}"/>
              </c:ext>
            </c:extLst>
          </c:dPt>
          <c:dPt>
            <c:idx val="4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4-3FDC-4A24-ABF5-205B831F7CA2}"/>
              </c:ext>
            </c:extLst>
          </c:dPt>
          <c:dPt>
            <c:idx val="4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6-3FDC-4A24-ABF5-205B831F7CA2}"/>
              </c:ext>
            </c:extLst>
          </c:dPt>
          <c:dPt>
            <c:idx val="4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8-3FDC-4A24-ABF5-205B831F7CA2}"/>
              </c:ext>
            </c:extLst>
          </c:dPt>
          <c:dPt>
            <c:idx val="4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A-3FDC-4A24-ABF5-205B831F7CA2}"/>
              </c:ext>
            </c:extLst>
          </c:dPt>
          <c:dPt>
            <c:idx val="4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C-3FDC-4A24-ABF5-205B831F7CA2}"/>
              </c:ext>
            </c:extLst>
          </c:dPt>
          <c:dPt>
            <c:idx val="4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E-3FDC-4A24-ABF5-205B831F7CA2}"/>
              </c:ext>
            </c:extLst>
          </c:dPt>
          <c:dPt>
            <c:idx val="5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0-3FDC-4A24-ABF5-205B831F7CA2}"/>
              </c:ext>
            </c:extLst>
          </c:dPt>
          <c:dPt>
            <c:idx val="5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2-3FDC-4A24-ABF5-205B831F7CA2}"/>
              </c:ext>
            </c:extLst>
          </c:dPt>
          <c:dPt>
            <c:idx val="5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4-3FDC-4A24-ABF5-205B831F7CA2}"/>
              </c:ext>
            </c:extLst>
          </c:dPt>
          <c:dPt>
            <c:idx val="5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6-3FDC-4A24-ABF5-205B831F7CA2}"/>
              </c:ext>
            </c:extLst>
          </c:dPt>
          <c:dPt>
            <c:idx val="5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8-3FDC-4A24-ABF5-205B831F7CA2}"/>
              </c:ext>
            </c:extLst>
          </c:dPt>
          <c:dPt>
            <c:idx val="5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A-3FDC-4A24-ABF5-205B831F7CA2}"/>
              </c:ext>
            </c:extLst>
          </c:dPt>
          <c:dPt>
            <c:idx val="5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C-3FDC-4A24-ABF5-205B831F7CA2}"/>
              </c:ext>
            </c:extLst>
          </c:dPt>
          <c:dPt>
            <c:idx val="5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E-3FDC-4A24-ABF5-205B831F7CA2}"/>
              </c:ext>
            </c:extLst>
          </c:dPt>
          <c:dPt>
            <c:idx val="5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0-3FDC-4A24-ABF5-205B831F7CA2}"/>
              </c:ext>
            </c:extLst>
          </c:dPt>
          <c:dPt>
            <c:idx val="5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2-3FDC-4A24-ABF5-205B831F7CA2}"/>
              </c:ext>
            </c:extLst>
          </c:dPt>
          <c:dPt>
            <c:idx val="6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4-3FDC-4A24-ABF5-205B831F7CA2}"/>
              </c:ext>
            </c:extLst>
          </c:dPt>
          <c:dPt>
            <c:idx val="6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6-3FDC-4A24-ABF5-205B831F7CA2}"/>
              </c:ext>
            </c:extLst>
          </c:dPt>
          <c:dPt>
            <c:idx val="6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8-3FDC-4A24-ABF5-205B831F7CA2}"/>
              </c:ext>
            </c:extLst>
          </c:dPt>
          <c:dPt>
            <c:idx val="6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A-3FDC-4A24-ABF5-205B831F7CA2}"/>
              </c:ext>
            </c:extLst>
          </c:dPt>
          <c:dPt>
            <c:idx val="6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C-3FDC-4A24-ABF5-205B831F7CA2}"/>
              </c:ext>
            </c:extLst>
          </c:dPt>
          <c:dPt>
            <c:idx val="6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E-3FDC-4A24-ABF5-205B831F7CA2}"/>
              </c:ext>
            </c:extLst>
          </c:dPt>
          <c:dPt>
            <c:idx val="6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0-3FDC-4A24-ABF5-205B831F7CA2}"/>
              </c:ext>
            </c:extLst>
          </c:dPt>
          <c:dPt>
            <c:idx val="6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2-3FDC-4A24-ABF5-205B831F7CA2}"/>
              </c:ext>
            </c:extLst>
          </c:dPt>
          <c:dPt>
            <c:idx val="6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4-3FDC-4A24-ABF5-205B831F7CA2}"/>
              </c:ext>
            </c:extLst>
          </c:dPt>
          <c:dPt>
            <c:idx val="6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6-3FDC-4A24-ABF5-205B831F7CA2}"/>
              </c:ext>
            </c:extLst>
          </c:dPt>
          <c:dPt>
            <c:idx val="7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8-3FDC-4A24-ABF5-205B831F7CA2}"/>
              </c:ext>
            </c:extLst>
          </c:dPt>
          <c:dPt>
            <c:idx val="7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A-3FDC-4A24-ABF5-205B831F7CA2}"/>
              </c:ext>
            </c:extLst>
          </c:dPt>
          <c:dPt>
            <c:idx val="7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C-3FDC-4A24-ABF5-205B831F7CA2}"/>
              </c:ext>
            </c:extLst>
          </c:dPt>
          <c:dPt>
            <c:idx val="7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E-3FDC-4A24-ABF5-205B831F7CA2}"/>
              </c:ext>
            </c:extLst>
          </c:dPt>
          <c:dPt>
            <c:idx val="7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0-3FDC-4A24-ABF5-205B831F7CA2}"/>
              </c:ext>
            </c:extLst>
          </c:dPt>
          <c:dPt>
            <c:idx val="7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2-3FDC-4A24-ABF5-205B831F7CA2}"/>
              </c:ext>
            </c:extLst>
          </c:dPt>
          <c:dPt>
            <c:idx val="7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4-3FDC-4A24-ABF5-205B831F7CA2}"/>
              </c:ext>
            </c:extLst>
          </c:dPt>
          <c:dPt>
            <c:idx val="7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6-3FDC-4A24-ABF5-205B831F7CA2}"/>
              </c:ext>
            </c:extLst>
          </c:dPt>
          <c:dPt>
            <c:idx val="7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8-3FDC-4A24-ABF5-205B831F7CA2}"/>
              </c:ext>
            </c:extLst>
          </c:dPt>
          <c:dPt>
            <c:idx val="7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A-3FDC-4A24-ABF5-205B831F7CA2}"/>
              </c:ext>
            </c:extLst>
          </c:dPt>
          <c:dPt>
            <c:idx val="8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C-3FDC-4A24-ABF5-205B831F7CA2}"/>
              </c:ext>
            </c:extLst>
          </c:dPt>
          <c:dPt>
            <c:idx val="8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E-3FDC-4A24-ABF5-205B831F7CA2}"/>
              </c:ext>
            </c:extLst>
          </c:dPt>
          <c:dPt>
            <c:idx val="8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0-3FDC-4A24-ABF5-205B831F7CA2}"/>
              </c:ext>
            </c:extLst>
          </c:dPt>
          <c:dPt>
            <c:idx val="8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2-3FDC-4A24-ABF5-205B831F7CA2}"/>
              </c:ext>
            </c:extLst>
          </c:dPt>
          <c:dPt>
            <c:idx val="8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4-3FDC-4A24-ABF5-205B831F7CA2}"/>
              </c:ext>
            </c:extLst>
          </c:dPt>
          <c:dPt>
            <c:idx val="8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6-3FDC-4A24-ABF5-205B831F7CA2}"/>
              </c:ext>
            </c:extLst>
          </c:dPt>
          <c:dPt>
            <c:idx val="8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8-3FDC-4A24-ABF5-205B831F7CA2}"/>
              </c:ext>
            </c:extLst>
          </c:dPt>
          <c:dPt>
            <c:idx val="8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A-3FDC-4A24-ABF5-205B831F7CA2}"/>
              </c:ext>
            </c:extLst>
          </c:dPt>
          <c:dPt>
            <c:idx val="8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C-3FDC-4A24-ABF5-205B831F7CA2}"/>
              </c:ext>
            </c:extLst>
          </c:dPt>
          <c:dPt>
            <c:idx val="8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E-3FDC-4A24-ABF5-205B831F7CA2}"/>
              </c:ext>
            </c:extLst>
          </c:dPt>
          <c:dPt>
            <c:idx val="9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0-3FDC-4A24-ABF5-205B831F7CA2}"/>
              </c:ext>
            </c:extLst>
          </c:dPt>
          <c:dPt>
            <c:idx val="9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2-3FDC-4A24-ABF5-205B831F7CA2}"/>
              </c:ext>
            </c:extLst>
          </c:dPt>
          <c:dPt>
            <c:idx val="9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4-3FDC-4A24-ABF5-205B831F7CA2}"/>
              </c:ext>
            </c:extLst>
          </c:dPt>
          <c:dPt>
            <c:idx val="9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6-3FDC-4A24-ABF5-205B831F7CA2}"/>
              </c:ext>
            </c:extLst>
          </c:dPt>
          <c:dPt>
            <c:idx val="9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8-3FDC-4A24-ABF5-205B831F7CA2}"/>
              </c:ext>
            </c:extLst>
          </c:dPt>
          <c:dPt>
            <c:idx val="9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A-3FDC-4A24-ABF5-205B831F7CA2}"/>
              </c:ext>
            </c:extLst>
          </c:dPt>
          <c:dPt>
            <c:idx val="9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C-3FDC-4A24-ABF5-205B831F7CA2}"/>
              </c:ext>
            </c:extLst>
          </c:dPt>
          <c:dPt>
            <c:idx val="9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E-3FDC-4A24-ABF5-205B831F7CA2}"/>
              </c:ext>
            </c:extLst>
          </c:dPt>
          <c:dPt>
            <c:idx val="9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0-3FDC-4A24-ABF5-205B831F7CA2}"/>
              </c:ext>
            </c:extLst>
          </c:dPt>
          <c:dPt>
            <c:idx val="9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2-3FDC-4A24-ABF5-205B831F7CA2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4-3FDC-4A24-ABF5-205B831F7CA2}"/>
              </c:ext>
            </c:extLst>
          </c:dPt>
          <c:val>
            <c:numRef>
              <c:f>Dashboard!$AI$5:$AI$105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 formatCode="0.00">
                  <c:v>174.69849771143146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95-3FDC-4A24-ABF5-205B831F7C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/>
              <a:t>THIS</a:t>
            </a:r>
            <a:r>
              <a:rPr lang="en-US" sz="1400" b="1" baseline="0"/>
              <a:t> MONTH'S </a:t>
            </a:r>
          </a:p>
          <a:p>
            <a:pPr>
              <a:defRPr/>
            </a:pPr>
            <a:r>
              <a:rPr lang="en-US" sz="1400" b="1"/>
              <a:t>ESKOM</a:t>
            </a:r>
            <a:r>
              <a:rPr lang="en-US" sz="1400" b="1" baseline="0"/>
              <a:t> PURCHASE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Dashboard!$AH$4</c:f>
              <c:strCache>
                <c:ptCount val="1"/>
                <c:pt idx="0">
                  <c:v>Grey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</c:spPr>
          <c:dPt>
            <c:idx val="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2C2-4749-BCCF-B1B3AB06DEE4}"/>
              </c:ext>
            </c:extLst>
          </c:dPt>
          <c:dPt>
            <c:idx val="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2C2-4749-BCCF-B1B3AB06DEE4}"/>
              </c:ext>
            </c:extLst>
          </c:dPt>
          <c:dPt>
            <c:idx val="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2C2-4749-BCCF-B1B3AB06DEE4}"/>
              </c:ext>
            </c:extLst>
          </c:dPt>
          <c:dPt>
            <c:idx val="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2C2-4749-BCCF-B1B3AB06DEE4}"/>
              </c:ext>
            </c:extLst>
          </c:dPt>
          <c:dPt>
            <c:idx val="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2C2-4749-BCCF-B1B3AB06DEE4}"/>
              </c:ext>
            </c:extLst>
          </c:dPt>
          <c:dPt>
            <c:idx val="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2C2-4749-BCCF-B1B3AB06DEE4}"/>
              </c:ext>
            </c:extLst>
          </c:dPt>
          <c:dPt>
            <c:idx val="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2C2-4749-BCCF-B1B3AB06DEE4}"/>
              </c:ext>
            </c:extLst>
          </c:dPt>
          <c:dPt>
            <c:idx val="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22C2-4749-BCCF-B1B3AB06DEE4}"/>
              </c:ext>
            </c:extLst>
          </c:dPt>
          <c:dPt>
            <c:idx val="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22C2-4749-BCCF-B1B3AB06DEE4}"/>
              </c:ext>
            </c:extLst>
          </c:dPt>
          <c:dPt>
            <c:idx val="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22C2-4749-BCCF-B1B3AB06DEE4}"/>
              </c:ext>
            </c:extLst>
          </c:dPt>
          <c:dPt>
            <c:idx val="1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22C2-4749-BCCF-B1B3AB06DEE4}"/>
              </c:ext>
            </c:extLst>
          </c:dPt>
          <c:dPt>
            <c:idx val="1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22C2-4749-BCCF-B1B3AB06DEE4}"/>
              </c:ext>
            </c:extLst>
          </c:dPt>
          <c:dPt>
            <c:idx val="1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22C2-4749-BCCF-B1B3AB06DEE4}"/>
              </c:ext>
            </c:extLst>
          </c:dPt>
          <c:dPt>
            <c:idx val="1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22C2-4749-BCCF-B1B3AB06DEE4}"/>
              </c:ext>
            </c:extLst>
          </c:dPt>
          <c:dPt>
            <c:idx val="1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22C2-4749-BCCF-B1B3AB06DEE4}"/>
              </c:ext>
            </c:extLst>
          </c:dPt>
          <c:dPt>
            <c:idx val="1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22C2-4749-BCCF-B1B3AB06DEE4}"/>
              </c:ext>
            </c:extLst>
          </c:dPt>
          <c:dPt>
            <c:idx val="1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22C2-4749-BCCF-B1B3AB06DEE4}"/>
              </c:ext>
            </c:extLst>
          </c:dPt>
          <c:dPt>
            <c:idx val="1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22C2-4749-BCCF-B1B3AB06DEE4}"/>
              </c:ext>
            </c:extLst>
          </c:dPt>
          <c:dPt>
            <c:idx val="1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22C2-4749-BCCF-B1B3AB06DEE4}"/>
              </c:ext>
            </c:extLst>
          </c:dPt>
          <c:dPt>
            <c:idx val="1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22C2-4749-BCCF-B1B3AB06DEE4}"/>
              </c:ext>
            </c:extLst>
          </c:dPt>
          <c:dPt>
            <c:idx val="2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22C2-4749-BCCF-B1B3AB06DEE4}"/>
              </c:ext>
            </c:extLst>
          </c:dPt>
          <c:dPt>
            <c:idx val="2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22C2-4749-BCCF-B1B3AB06DEE4}"/>
              </c:ext>
            </c:extLst>
          </c:dPt>
          <c:dPt>
            <c:idx val="2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22C2-4749-BCCF-B1B3AB06DEE4}"/>
              </c:ext>
            </c:extLst>
          </c:dPt>
          <c:dPt>
            <c:idx val="2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22C2-4749-BCCF-B1B3AB06DEE4}"/>
              </c:ext>
            </c:extLst>
          </c:dPt>
          <c:dPt>
            <c:idx val="2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22C2-4749-BCCF-B1B3AB06DEE4}"/>
              </c:ext>
            </c:extLst>
          </c:dPt>
          <c:dPt>
            <c:idx val="2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22C2-4749-BCCF-B1B3AB06DEE4}"/>
              </c:ext>
            </c:extLst>
          </c:dPt>
          <c:dPt>
            <c:idx val="2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22C2-4749-BCCF-B1B3AB06DEE4}"/>
              </c:ext>
            </c:extLst>
          </c:dPt>
          <c:dPt>
            <c:idx val="2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22C2-4749-BCCF-B1B3AB06DEE4}"/>
              </c:ext>
            </c:extLst>
          </c:dPt>
          <c:dPt>
            <c:idx val="2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22C2-4749-BCCF-B1B3AB06DEE4}"/>
              </c:ext>
            </c:extLst>
          </c:dPt>
          <c:dPt>
            <c:idx val="2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22C2-4749-BCCF-B1B3AB06DEE4}"/>
              </c:ext>
            </c:extLst>
          </c:dPt>
          <c:dPt>
            <c:idx val="3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22C2-4749-BCCF-B1B3AB06DEE4}"/>
              </c:ext>
            </c:extLst>
          </c:dPt>
          <c:dPt>
            <c:idx val="3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22C2-4749-BCCF-B1B3AB06DEE4}"/>
              </c:ext>
            </c:extLst>
          </c:dPt>
          <c:dPt>
            <c:idx val="3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22C2-4749-BCCF-B1B3AB06DEE4}"/>
              </c:ext>
            </c:extLst>
          </c:dPt>
          <c:dPt>
            <c:idx val="3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22C2-4749-BCCF-B1B3AB06DEE4}"/>
              </c:ext>
            </c:extLst>
          </c:dPt>
          <c:dPt>
            <c:idx val="3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22C2-4749-BCCF-B1B3AB06DEE4}"/>
              </c:ext>
            </c:extLst>
          </c:dPt>
          <c:dPt>
            <c:idx val="3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22C2-4749-BCCF-B1B3AB06DEE4}"/>
              </c:ext>
            </c:extLst>
          </c:dPt>
          <c:dPt>
            <c:idx val="3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22C2-4749-BCCF-B1B3AB06DEE4}"/>
              </c:ext>
            </c:extLst>
          </c:dPt>
          <c:dPt>
            <c:idx val="3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22C2-4749-BCCF-B1B3AB06DEE4}"/>
              </c:ext>
            </c:extLst>
          </c:dPt>
          <c:dPt>
            <c:idx val="3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22C2-4749-BCCF-B1B3AB06DEE4}"/>
              </c:ext>
            </c:extLst>
          </c:dPt>
          <c:dPt>
            <c:idx val="3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22C2-4749-BCCF-B1B3AB06DEE4}"/>
              </c:ext>
            </c:extLst>
          </c:dPt>
          <c:dPt>
            <c:idx val="4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22C2-4749-BCCF-B1B3AB06DEE4}"/>
              </c:ext>
            </c:extLst>
          </c:dPt>
          <c:dPt>
            <c:idx val="4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22C2-4749-BCCF-B1B3AB06DEE4}"/>
              </c:ext>
            </c:extLst>
          </c:dPt>
          <c:dPt>
            <c:idx val="4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22C2-4749-BCCF-B1B3AB06DEE4}"/>
              </c:ext>
            </c:extLst>
          </c:dPt>
          <c:dPt>
            <c:idx val="4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22C2-4749-BCCF-B1B3AB06DEE4}"/>
              </c:ext>
            </c:extLst>
          </c:dPt>
          <c:dPt>
            <c:idx val="4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22C2-4749-BCCF-B1B3AB06DEE4}"/>
              </c:ext>
            </c:extLst>
          </c:dPt>
          <c:dPt>
            <c:idx val="4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22C2-4749-BCCF-B1B3AB06DEE4}"/>
              </c:ext>
            </c:extLst>
          </c:dPt>
          <c:dPt>
            <c:idx val="4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22C2-4749-BCCF-B1B3AB06DEE4}"/>
              </c:ext>
            </c:extLst>
          </c:dPt>
          <c:dPt>
            <c:idx val="4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22C2-4749-BCCF-B1B3AB06DEE4}"/>
              </c:ext>
            </c:extLst>
          </c:dPt>
          <c:dPt>
            <c:idx val="4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22C2-4749-BCCF-B1B3AB06DEE4}"/>
              </c:ext>
            </c:extLst>
          </c:dPt>
          <c:dPt>
            <c:idx val="4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22C2-4749-BCCF-B1B3AB06DEE4}"/>
              </c:ext>
            </c:extLst>
          </c:dPt>
          <c:dPt>
            <c:idx val="5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22C2-4749-BCCF-B1B3AB06DEE4}"/>
              </c:ext>
            </c:extLst>
          </c:dPt>
          <c:dPt>
            <c:idx val="5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22C2-4749-BCCF-B1B3AB06DEE4}"/>
              </c:ext>
            </c:extLst>
          </c:dPt>
          <c:dPt>
            <c:idx val="5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22C2-4749-BCCF-B1B3AB06DEE4}"/>
              </c:ext>
            </c:extLst>
          </c:dPt>
          <c:dPt>
            <c:idx val="5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22C2-4749-BCCF-B1B3AB06DEE4}"/>
              </c:ext>
            </c:extLst>
          </c:dPt>
          <c:dPt>
            <c:idx val="5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22C2-4749-BCCF-B1B3AB06DEE4}"/>
              </c:ext>
            </c:extLst>
          </c:dPt>
          <c:dPt>
            <c:idx val="5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22C2-4749-BCCF-B1B3AB06DEE4}"/>
              </c:ext>
            </c:extLst>
          </c:dPt>
          <c:dPt>
            <c:idx val="5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22C2-4749-BCCF-B1B3AB06DEE4}"/>
              </c:ext>
            </c:extLst>
          </c:dPt>
          <c:dPt>
            <c:idx val="5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22C2-4749-BCCF-B1B3AB06DEE4}"/>
              </c:ext>
            </c:extLst>
          </c:dPt>
          <c:dPt>
            <c:idx val="5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22C2-4749-BCCF-B1B3AB06DEE4}"/>
              </c:ext>
            </c:extLst>
          </c:dPt>
          <c:dPt>
            <c:idx val="5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22C2-4749-BCCF-B1B3AB06DEE4}"/>
              </c:ext>
            </c:extLst>
          </c:dPt>
          <c:dPt>
            <c:idx val="6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22C2-4749-BCCF-B1B3AB06DEE4}"/>
              </c:ext>
            </c:extLst>
          </c:dPt>
          <c:dPt>
            <c:idx val="6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22C2-4749-BCCF-B1B3AB06DEE4}"/>
              </c:ext>
            </c:extLst>
          </c:dPt>
          <c:dPt>
            <c:idx val="6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22C2-4749-BCCF-B1B3AB06DEE4}"/>
              </c:ext>
            </c:extLst>
          </c:dPt>
          <c:dPt>
            <c:idx val="6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22C2-4749-BCCF-B1B3AB06DEE4}"/>
              </c:ext>
            </c:extLst>
          </c:dPt>
          <c:dPt>
            <c:idx val="6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22C2-4749-BCCF-B1B3AB06DEE4}"/>
              </c:ext>
            </c:extLst>
          </c:dPt>
          <c:dPt>
            <c:idx val="6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22C2-4749-BCCF-B1B3AB06DEE4}"/>
              </c:ext>
            </c:extLst>
          </c:dPt>
          <c:dPt>
            <c:idx val="6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22C2-4749-BCCF-B1B3AB06DEE4}"/>
              </c:ext>
            </c:extLst>
          </c:dPt>
          <c:dPt>
            <c:idx val="6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22C2-4749-BCCF-B1B3AB06DEE4}"/>
              </c:ext>
            </c:extLst>
          </c:dPt>
          <c:dPt>
            <c:idx val="6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22C2-4749-BCCF-B1B3AB06DEE4}"/>
              </c:ext>
            </c:extLst>
          </c:dPt>
          <c:dPt>
            <c:idx val="6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22C2-4749-BCCF-B1B3AB06DEE4}"/>
              </c:ext>
            </c:extLst>
          </c:dPt>
          <c:dPt>
            <c:idx val="7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22C2-4749-BCCF-B1B3AB06DEE4}"/>
              </c:ext>
            </c:extLst>
          </c:dPt>
          <c:dPt>
            <c:idx val="7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22C2-4749-BCCF-B1B3AB06DEE4}"/>
              </c:ext>
            </c:extLst>
          </c:dPt>
          <c:dPt>
            <c:idx val="7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22C2-4749-BCCF-B1B3AB06DEE4}"/>
              </c:ext>
            </c:extLst>
          </c:dPt>
          <c:dPt>
            <c:idx val="7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22C2-4749-BCCF-B1B3AB06DEE4}"/>
              </c:ext>
            </c:extLst>
          </c:dPt>
          <c:dPt>
            <c:idx val="7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22C2-4749-BCCF-B1B3AB06DEE4}"/>
              </c:ext>
            </c:extLst>
          </c:dPt>
          <c:dPt>
            <c:idx val="7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22C2-4749-BCCF-B1B3AB06DEE4}"/>
              </c:ext>
            </c:extLst>
          </c:dPt>
          <c:dPt>
            <c:idx val="7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22C2-4749-BCCF-B1B3AB06DEE4}"/>
              </c:ext>
            </c:extLst>
          </c:dPt>
          <c:dPt>
            <c:idx val="7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22C2-4749-BCCF-B1B3AB06DEE4}"/>
              </c:ext>
            </c:extLst>
          </c:dPt>
          <c:dPt>
            <c:idx val="7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22C2-4749-BCCF-B1B3AB06DEE4}"/>
              </c:ext>
            </c:extLst>
          </c:dPt>
          <c:dPt>
            <c:idx val="7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22C2-4749-BCCF-B1B3AB06DEE4}"/>
              </c:ext>
            </c:extLst>
          </c:dPt>
          <c:dPt>
            <c:idx val="8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22C2-4749-BCCF-B1B3AB06DEE4}"/>
              </c:ext>
            </c:extLst>
          </c:dPt>
          <c:dPt>
            <c:idx val="8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22C2-4749-BCCF-B1B3AB06DEE4}"/>
              </c:ext>
            </c:extLst>
          </c:dPt>
          <c:dPt>
            <c:idx val="8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22C2-4749-BCCF-B1B3AB06DEE4}"/>
              </c:ext>
            </c:extLst>
          </c:dPt>
          <c:dPt>
            <c:idx val="8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22C2-4749-BCCF-B1B3AB06DEE4}"/>
              </c:ext>
            </c:extLst>
          </c:dPt>
          <c:dPt>
            <c:idx val="8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22C2-4749-BCCF-B1B3AB06DEE4}"/>
              </c:ext>
            </c:extLst>
          </c:dPt>
          <c:dPt>
            <c:idx val="8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22C2-4749-BCCF-B1B3AB06DEE4}"/>
              </c:ext>
            </c:extLst>
          </c:dPt>
          <c:dPt>
            <c:idx val="8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22C2-4749-BCCF-B1B3AB06DEE4}"/>
              </c:ext>
            </c:extLst>
          </c:dPt>
          <c:dPt>
            <c:idx val="8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22C2-4749-BCCF-B1B3AB06DEE4}"/>
              </c:ext>
            </c:extLst>
          </c:dPt>
          <c:dPt>
            <c:idx val="8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22C2-4749-BCCF-B1B3AB06DEE4}"/>
              </c:ext>
            </c:extLst>
          </c:dPt>
          <c:dPt>
            <c:idx val="8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22C2-4749-BCCF-B1B3AB06DEE4}"/>
              </c:ext>
            </c:extLst>
          </c:dPt>
          <c:dPt>
            <c:idx val="9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22C2-4749-BCCF-B1B3AB06DEE4}"/>
              </c:ext>
            </c:extLst>
          </c:dPt>
          <c:dPt>
            <c:idx val="9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22C2-4749-BCCF-B1B3AB06DEE4}"/>
              </c:ext>
            </c:extLst>
          </c:dPt>
          <c:dPt>
            <c:idx val="9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22C2-4749-BCCF-B1B3AB06DEE4}"/>
              </c:ext>
            </c:extLst>
          </c:dPt>
          <c:dPt>
            <c:idx val="9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22C2-4749-BCCF-B1B3AB06DEE4}"/>
              </c:ext>
            </c:extLst>
          </c:dPt>
          <c:dPt>
            <c:idx val="9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22C2-4749-BCCF-B1B3AB06DEE4}"/>
              </c:ext>
            </c:extLst>
          </c:dPt>
          <c:dPt>
            <c:idx val="9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22C2-4749-BCCF-B1B3AB06DEE4}"/>
              </c:ext>
            </c:extLst>
          </c:dPt>
          <c:dPt>
            <c:idx val="9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22C2-4749-BCCF-B1B3AB06DEE4}"/>
              </c:ext>
            </c:extLst>
          </c:dPt>
          <c:dPt>
            <c:idx val="9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22C2-4749-BCCF-B1B3AB06DEE4}"/>
              </c:ext>
            </c:extLst>
          </c:dPt>
          <c:dPt>
            <c:idx val="9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22C2-4749-BCCF-B1B3AB06DEE4}"/>
              </c:ext>
            </c:extLst>
          </c:dPt>
          <c:dPt>
            <c:idx val="9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22C2-4749-BCCF-B1B3AB06DEE4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9-22C2-4749-BCCF-B1B3AB06DEE4}"/>
              </c:ext>
            </c:extLst>
          </c:dPt>
          <c:val>
            <c:numRef>
              <c:f>Dashboard!$AH$5:$AH$105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CA-22C2-4749-BCCF-B1B3AB06DE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0"/>
      </c:doughnutChart>
      <c:doughnutChart>
        <c:varyColors val="1"/>
        <c:ser>
          <c:idx val="1"/>
          <c:order val="1"/>
          <c:tx>
            <c:strRef>
              <c:f>Dashboard!$AJ$4</c:f>
              <c:strCache>
                <c:ptCount val="1"/>
                <c:pt idx="0">
                  <c:v>Colour (Con)</c:v>
                </c:pt>
              </c:strCache>
            </c:strRef>
          </c:tx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C-22C2-4749-BCCF-B1B3AB06DEE4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E-22C2-4749-BCCF-B1B3AB06DEE4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0-22C2-4749-BCCF-B1B3AB06DEE4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2-22C2-4749-BCCF-B1B3AB06DEE4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4-22C2-4749-BCCF-B1B3AB06DEE4}"/>
              </c:ext>
            </c:extLst>
          </c:dPt>
          <c:dPt>
            <c:idx val="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6-22C2-4749-BCCF-B1B3AB06DEE4}"/>
              </c:ext>
            </c:extLst>
          </c:dPt>
          <c:dPt>
            <c:idx val="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8-22C2-4749-BCCF-B1B3AB06DEE4}"/>
              </c:ext>
            </c:extLst>
          </c:dPt>
          <c:dPt>
            <c:idx val="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A-22C2-4749-BCCF-B1B3AB06DEE4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C-22C2-4749-BCCF-B1B3AB06DEE4}"/>
              </c:ext>
            </c:extLst>
          </c:dPt>
          <c:dPt>
            <c:idx val="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E-22C2-4749-BCCF-B1B3AB06DEE4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0-22C2-4749-BCCF-B1B3AB06DEE4}"/>
              </c:ext>
            </c:extLst>
          </c:dPt>
          <c:dPt>
            <c:idx val="1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2-22C2-4749-BCCF-B1B3AB06DEE4}"/>
              </c:ext>
            </c:extLst>
          </c:dPt>
          <c:dPt>
            <c:idx val="1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4-22C2-4749-BCCF-B1B3AB06DEE4}"/>
              </c:ext>
            </c:extLst>
          </c:dPt>
          <c:dPt>
            <c:idx val="1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6-22C2-4749-BCCF-B1B3AB06DEE4}"/>
              </c:ext>
            </c:extLst>
          </c:dPt>
          <c:dPt>
            <c:idx val="1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8-22C2-4749-BCCF-B1B3AB06DEE4}"/>
              </c:ext>
            </c:extLst>
          </c:dPt>
          <c:dPt>
            <c:idx val="1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A-22C2-4749-BCCF-B1B3AB06DEE4}"/>
              </c:ext>
            </c:extLst>
          </c:dPt>
          <c:dPt>
            <c:idx val="1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C-22C2-4749-BCCF-B1B3AB06DEE4}"/>
              </c:ext>
            </c:extLst>
          </c:dPt>
          <c:dPt>
            <c:idx val="1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E-22C2-4749-BCCF-B1B3AB06DEE4}"/>
              </c:ext>
            </c:extLst>
          </c:dPt>
          <c:dPt>
            <c:idx val="1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0-22C2-4749-BCCF-B1B3AB06DEE4}"/>
              </c:ext>
            </c:extLst>
          </c:dPt>
          <c:dPt>
            <c:idx val="1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2-22C2-4749-BCCF-B1B3AB06DEE4}"/>
              </c:ext>
            </c:extLst>
          </c:dPt>
          <c:dPt>
            <c:idx val="2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4-22C2-4749-BCCF-B1B3AB06DEE4}"/>
              </c:ext>
            </c:extLst>
          </c:dPt>
          <c:dPt>
            <c:idx val="2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6-22C2-4749-BCCF-B1B3AB06DEE4}"/>
              </c:ext>
            </c:extLst>
          </c:dPt>
          <c:dPt>
            <c:idx val="2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8-22C2-4749-BCCF-B1B3AB06DEE4}"/>
              </c:ext>
            </c:extLst>
          </c:dPt>
          <c:dPt>
            <c:idx val="2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A-22C2-4749-BCCF-B1B3AB06DEE4}"/>
              </c:ext>
            </c:extLst>
          </c:dPt>
          <c:dPt>
            <c:idx val="2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C-22C2-4749-BCCF-B1B3AB06DEE4}"/>
              </c:ext>
            </c:extLst>
          </c:dPt>
          <c:dPt>
            <c:idx val="2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E-22C2-4749-BCCF-B1B3AB06DEE4}"/>
              </c:ext>
            </c:extLst>
          </c:dPt>
          <c:dPt>
            <c:idx val="2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0-22C2-4749-BCCF-B1B3AB06DEE4}"/>
              </c:ext>
            </c:extLst>
          </c:dPt>
          <c:dPt>
            <c:idx val="2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2-22C2-4749-BCCF-B1B3AB06DEE4}"/>
              </c:ext>
            </c:extLst>
          </c:dPt>
          <c:dPt>
            <c:idx val="2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4-22C2-4749-BCCF-B1B3AB06DEE4}"/>
              </c:ext>
            </c:extLst>
          </c:dPt>
          <c:dPt>
            <c:idx val="2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6-22C2-4749-BCCF-B1B3AB06DEE4}"/>
              </c:ext>
            </c:extLst>
          </c:dPt>
          <c:dPt>
            <c:idx val="3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8-22C2-4749-BCCF-B1B3AB06DEE4}"/>
              </c:ext>
            </c:extLst>
          </c:dPt>
          <c:dPt>
            <c:idx val="3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A-22C2-4749-BCCF-B1B3AB06DEE4}"/>
              </c:ext>
            </c:extLst>
          </c:dPt>
          <c:dPt>
            <c:idx val="3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C-22C2-4749-BCCF-B1B3AB06DEE4}"/>
              </c:ext>
            </c:extLst>
          </c:dPt>
          <c:dPt>
            <c:idx val="3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E-22C2-4749-BCCF-B1B3AB06DEE4}"/>
              </c:ext>
            </c:extLst>
          </c:dPt>
          <c:dPt>
            <c:idx val="3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0-22C2-4749-BCCF-B1B3AB06DEE4}"/>
              </c:ext>
            </c:extLst>
          </c:dPt>
          <c:dPt>
            <c:idx val="3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2-22C2-4749-BCCF-B1B3AB06DEE4}"/>
              </c:ext>
            </c:extLst>
          </c:dPt>
          <c:dPt>
            <c:idx val="3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4-22C2-4749-BCCF-B1B3AB06DEE4}"/>
              </c:ext>
            </c:extLst>
          </c:dPt>
          <c:dPt>
            <c:idx val="3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6-22C2-4749-BCCF-B1B3AB06DEE4}"/>
              </c:ext>
            </c:extLst>
          </c:dPt>
          <c:dPt>
            <c:idx val="3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8-22C2-4749-BCCF-B1B3AB06DEE4}"/>
              </c:ext>
            </c:extLst>
          </c:dPt>
          <c:dPt>
            <c:idx val="3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A-22C2-4749-BCCF-B1B3AB06DEE4}"/>
              </c:ext>
            </c:extLst>
          </c:dPt>
          <c:dPt>
            <c:idx val="4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C-22C2-4749-BCCF-B1B3AB06DEE4}"/>
              </c:ext>
            </c:extLst>
          </c:dPt>
          <c:dPt>
            <c:idx val="4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E-22C2-4749-BCCF-B1B3AB06DEE4}"/>
              </c:ext>
            </c:extLst>
          </c:dPt>
          <c:dPt>
            <c:idx val="4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0-22C2-4749-BCCF-B1B3AB06DEE4}"/>
              </c:ext>
            </c:extLst>
          </c:dPt>
          <c:dPt>
            <c:idx val="4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2-22C2-4749-BCCF-B1B3AB06DEE4}"/>
              </c:ext>
            </c:extLst>
          </c:dPt>
          <c:dPt>
            <c:idx val="4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4-22C2-4749-BCCF-B1B3AB06DEE4}"/>
              </c:ext>
            </c:extLst>
          </c:dPt>
          <c:dPt>
            <c:idx val="4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6-22C2-4749-BCCF-B1B3AB06DEE4}"/>
              </c:ext>
            </c:extLst>
          </c:dPt>
          <c:dPt>
            <c:idx val="4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8-22C2-4749-BCCF-B1B3AB06DEE4}"/>
              </c:ext>
            </c:extLst>
          </c:dPt>
          <c:dPt>
            <c:idx val="4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A-22C2-4749-BCCF-B1B3AB06DEE4}"/>
              </c:ext>
            </c:extLst>
          </c:dPt>
          <c:dPt>
            <c:idx val="4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C-22C2-4749-BCCF-B1B3AB06DEE4}"/>
              </c:ext>
            </c:extLst>
          </c:dPt>
          <c:dPt>
            <c:idx val="4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E-22C2-4749-BCCF-B1B3AB06DEE4}"/>
              </c:ext>
            </c:extLst>
          </c:dPt>
          <c:dPt>
            <c:idx val="5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0-22C2-4749-BCCF-B1B3AB06DEE4}"/>
              </c:ext>
            </c:extLst>
          </c:dPt>
          <c:dPt>
            <c:idx val="5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2-22C2-4749-BCCF-B1B3AB06DEE4}"/>
              </c:ext>
            </c:extLst>
          </c:dPt>
          <c:dPt>
            <c:idx val="5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4-22C2-4749-BCCF-B1B3AB06DEE4}"/>
              </c:ext>
            </c:extLst>
          </c:dPt>
          <c:dPt>
            <c:idx val="5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6-22C2-4749-BCCF-B1B3AB06DEE4}"/>
              </c:ext>
            </c:extLst>
          </c:dPt>
          <c:dPt>
            <c:idx val="5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8-22C2-4749-BCCF-B1B3AB06DEE4}"/>
              </c:ext>
            </c:extLst>
          </c:dPt>
          <c:dPt>
            <c:idx val="5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A-22C2-4749-BCCF-B1B3AB06DEE4}"/>
              </c:ext>
            </c:extLst>
          </c:dPt>
          <c:dPt>
            <c:idx val="5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C-22C2-4749-BCCF-B1B3AB06DEE4}"/>
              </c:ext>
            </c:extLst>
          </c:dPt>
          <c:dPt>
            <c:idx val="5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E-22C2-4749-BCCF-B1B3AB06DEE4}"/>
              </c:ext>
            </c:extLst>
          </c:dPt>
          <c:dPt>
            <c:idx val="5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0-22C2-4749-BCCF-B1B3AB06DEE4}"/>
              </c:ext>
            </c:extLst>
          </c:dPt>
          <c:dPt>
            <c:idx val="5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2-22C2-4749-BCCF-B1B3AB06DEE4}"/>
              </c:ext>
            </c:extLst>
          </c:dPt>
          <c:dPt>
            <c:idx val="6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4-22C2-4749-BCCF-B1B3AB06DEE4}"/>
              </c:ext>
            </c:extLst>
          </c:dPt>
          <c:dPt>
            <c:idx val="6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6-22C2-4749-BCCF-B1B3AB06DEE4}"/>
              </c:ext>
            </c:extLst>
          </c:dPt>
          <c:dPt>
            <c:idx val="6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8-22C2-4749-BCCF-B1B3AB06DEE4}"/>
              </c:ext>
            </c:extLst>
          </c:dPt>
          <c:dPt>
            <c:idx val="6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A-22C2-4749-BCCF-B1B3AB06DEE4}"/>
              </c:ext>
            </c:extLst>
          </c:dPt>
          <c:dPt>
            <c:idx val="6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C-22C2-4749-BCCF-B1B3AB06DEE4}"/>
              </c:ext>
            </c:extLst>
          </c:dPt>
          <c:dPt>
            <c:idx val="6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E-22C2-4749-BCCF-B1B3AB06DEE4}"/>
              </c:ext>
            </c:extLst>
          </c:dPt>
          <c:dPt>
            <c:idx val="6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0-22C2-4749-BCCF-B1B3AB06DEE4}"/>
              </c:ext>
            </c:extLst>
          </c:dPt>
          <c:dPt>
            <c:idx val="6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2-22C2-4749-BCCF-B1B3AB06DEE4}"/>
              </c:ext>
            </c:extLst>
          </c:dPt>
          <c:dPt>
            <c:idx val="6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4-22C2-4749-BCCF-B1B3AB06DEE4}"/>
              </c:ext>
            </c:extLst>
          </c:dPt>
          <c:dPt>
            <c:idx val="6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6-22C2-4749-BCCF-B1B3AB06DEE4}"/>
              </c:ext>
            </c:extLst>
          </c:dPt>
          <c:dPt>
            <c:idx val="7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8-22C2-4749-BCCF-B1B3AB06DEE4}"/>
              </c:ext>
            </c:extLst>
          </c:dPt>
          <c:dPt>
            <c:idx val="7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A-22C2-4749-BCCF-B1B3AB06DEE4}"/>
              </c:ext>
            </c:extLst>
          </c:dPt>
          <c:dPt>
            <c:idx val="7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C-22C2-4749-BCCF-B1B3AB06DEE4}"/>
              </c:ext>
            </c:extLst>
          </c:dPt>
          <c:dPt>
            <c:idx val="7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E-22C2-4749-BCCF-B1B3AB06DEE4}"/>
              </c:ext>
            </c:extLst>
          </c:dPt>
          <c:dPt>
            <c:idx val="7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0-22C2-4749-BCCF-B1B3AB06DEE4}"/>
              </c:ext>
            </c:extLst>
          </c:dPt>
          <c:dPt>
            <c:idx val="7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2-22C2-4749-BCCF-B1B3AB06DEE4}"/>
              </c:ext>
            </c:extLst>
          </c:dPt>
          <c:dPt>
            <c:idx val="7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4-22C2-4749-BCCF-B1B3AB06DEE4}"/>
              </c:ext>
            </c:extLst>
          </c:dPt>
          <c:dPt>
            <c:idx val="7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6-22C2-4749-BCCF-B1B3AB06DEE4}"/>
              </c:ext>
            </c:extLst>
          </c:dPt>
          <c:dPt>
            <c:idx val="7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8-22C2-4749-BCCF-B1B3AB06DEE4}"/>
              </c:ext>
            </c:extLst>
          </c:dPt>
          <c:dPt>
            <c:idx val="7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A-22C2-4749-BCCF-B1B3AB06DEE4}"/>
              </c:ext>
            </c:extLst>
          </c:dPt>
          <c:dPt>
            <c:idx val="8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C-22C2-4749-BCCF-B1B3AB06DEE4}"/>
              </c:ext>
            </c:extLst>
          </c:dPt>
          <c:dPt>
            <c:idx val="8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E-22C2-4749-BCCF-B1B3AB06DEE4}"/>
              </c:ext>
            </c:extLst>
          </c:dPt>
          <c:dPt>
            <c:idx val="8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0-22C2-4749-BCCF-B1B3AB06DEE4}"/>
              </c:ext>
            </c:extLst>
          </c:dPt>
          <c:dPt>
            <c:idx val="8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2-22C2-4749-BCCF-B1B3AB06DEE4}"/>
              </c:ext>
            </c:extLst>
          </c:dPt>
          <c:dPt>
            <c:idx val="8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4-22C2-4749-BCCF-B1B3AB06DEE4}"/>
              </c:ext>
            </c:extLst>
          </c:dPt>
          <c:dPt>
            <c:idx val="8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6-22C2-4749-BCCF-B1B3AB06DEE4}"/>
              </c:ext>
            </c:extLst>
          </c:dPt>
          <c:dPt>
            <c:idx val="8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8-22C2-4749-BCCF-B1B3AB06DEE4}"/>
              </c:ext>
            </c:extLst>
          </c:dPt>
          <c:dPt>
            <c:idx val="8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A-22C2-4749-BCCF-B1B3AB06DEE4}"/>
              </c:ext>
            </c:extLst>
          </c:dPt>
          <c:dPt>
            <c:idx val="8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C-22C2-4749-BCCF-B1B3AB06DEE4}"/>
              </c:ext>
            </c:extLst>
          </c:dPt>
          <c:dPt>
            <c:idx val="8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E-22C2-4749-BCCF-B1B3AB06DEE4}"/>
              </c:ext>
            </c:extLst>
          </c:dPt>
          <c:dPt>
            <c:idx val="9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0-22C2-4749-BCCF-B1B3AB06DEE4}"/>
              </c:ext>
            </c:extLst>
          </c:dPt>
          <c:dPt>
            <c:idx val="9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2-22C2-4749-BCCF-B1B3AB06DEE4}"/>
              </c:ext>
            </c:extLst>
          </c:dPt>
          <c:dPt>
            <c:idx val="9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4-22C2-4749-BCCF-B1B3AB06DEE4}"/>
              </c:ext>
            </c:extLst>
          </c:dPt>
          <c:dPt>
            <c:idx val="9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6-22C2-4749-BCCF-B1B3AB06DEE4}"/>
              </c:ext>
            </c:extLst>
          </c:dPt>
          <c:dPt>
            <c:idx val="9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8-22C2-4749-BCCF-B1B3AB06DEE4}"/>
              </c:ext>
            </c:extLst>
          </c:dPt>
          <c:dPt>
            <c:idx val="9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A-22C2-4749-BCCF-B1B3AB06DEE4}"/>
              </c:ext>
            </c:extLst>
          </c:dPt>
          <c:dPt>
            <c:idx val="9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C-22C2-4749-BCCF-B1B3AB06DEE4}"/>
              </c:ext>
            </c:extLst>
          </c:dPt>
          <c:dPt>
            <c:idx val="9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E-22C2-4749-BCCF-B1B3AB06DEE4}"/>
              </c:ext>
            </c:extLst>
          </c:dPt>
          <c:dPt>
            <c:idx val="9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0-22C2-4749-BCCF-B1B3AB06DEE4}"/>
              </c:ext>
            </c:extLst>
          </c:dPt>
          <c:dPt>
            <c:idx val="9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2-22C2-4749-BCCF-B1B3AB06DEE4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4-22C2-4749-BCCF-B1B3AB06DEE4}"/>
              </c:ext>
            </c:extLst>
          </c:dPt>
          <c:val>
            <c:numRef>
              <c:f>Dashboard!$AJ$5:$AJ$105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125.30150228856854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95-22C2-4749-BCCF-B1B3AB06DE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128986</xdr:colOff>
      <xdr:row>21</xdr:row>
      <xdr:rowOff>39688</xdr:rowOff>
    </xdr:from>
    <xdr:to>
      <xdr:col>6</xdr:col>
      <xdr:colOff>332186</xdr:colOff>
      <xdr:row>33</xdr:row>
      <xdr:rowOff>80963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17691B1-2623-41D3-9B83-0B99AE05DAA7}"/>
            </a:ext>
            <a:ext uri="{147F2762-F138-4A5C-976F-8EAC2B608ADB}">
              <a16:predDERef xmlns:a16="http://schemas.microsoft.com/office/drawing/2014/main" pred="{70E00051-FB7D-B08B-0295-ACDF38801F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115456</xdr:rowOff>
    </xdr:from>
    <xdr:to>
      <xdr:col>6</xdr:col>
      <xdr:colOff>640443</xdr:colOff>
      <xdr:row>22</xdr:row>
      <xdr:rowOff>178956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60D5A5-32EB-6080-6027-6FED91A95A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501549</xdr:colOff>
      <xdr:row>10</xdr:row>
      <xdr:rowOff>167214</xdr:rowOff>
    </xdr:from>
    <xdr:to>
      <xdr:col>6</xdr:col>
      <xdr:colOff>158968</xdr:colOff>
      <xdr:row>12</xdr:row>
      <xdr:rowOff>144802</xdr:rowOff>
    </xdr:to>
    <xdr:sp macro="" textlink="Q11">
      <xdr:nvSpPr>
        <xdr:cNvPr id="4" name="TextBox 3">
          <a:extLst>
            <a:ext uri="{FF2B5EF4-FFF2-40B4-BE49-F238E27FC236}">
              <a16:creationId xmlns:a16="http://schemas.microsoft.com/office/drawing/2014/main" id="{DDF2741E-066D-D734-1D37-A89F8A97392A}"/>
            </a:ext>
          </a:extLst>
        </xdr:cNvPr>
        <xdr:cNvSpPr txBox="1"/>
      </xdr:nvSpPr>
      <xdr:spPr>
        <a:xfrm>
          <a:off x="501549" y="2037578"/>
          <a:ext cx="3328874" cy="3470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3D7D3BDB-EA36-4E0A-BD50-B5E640291EC4}" type="TxLink">
            <a:rPr lang="en-US" sz="2400" b="1" i="0" u="none" strike="noStrike">
              <a:solidFill>
                <a:srgbClr val="92D050"/>
              </a:solidFill>
              <a:latin typeface="Aptos Narrow"/>
            </a:rPr>
            <a:pPr/>
            <a:t>25%</a:t>
          </a:fld>
          <a:endParaRPr lang="en-US" sz="2400" b="1" i="0" u="none" strike="noStrike">
            <a:solidFill>
              <a:srgbClr val="92D050"/>
            </a:solidFill>
            <a:latin typeface="Aptos Narrow"/>
          </a:endParaRPr>
        </a:p>
        <a:p>
          <a:r>
            <a:rPr lang="en-US" sz="2400" b="1" i="0" u="none" strike="noStrike">
              <a:solidFill>
                <a:srgbClr val="92D050"/>
              </a:solidFill>
              <a:latin typeface="Aptos Narrow"/>
            </a:rPr>
            <a:t>=</a:t>
          </a:r>
          <a:endParaRPr lang="en-US" sz="2400">
            <a:solidFill>
              <a:srgbClr val="92D050"/>
            </a:solidFill>
          </a:endParaRPr>
        </a:p>
      </xdr:txBody>
    </xdr:sp>
    <xdr:clientData/>
  </xdr:twoCellAnchor>
  <xdr:twoCellAnchor>
    <xdr:from>
      <xdr:col>0</xdr:col>
      <xdr:colOff>29885</xdr:colOff>
      <xdr:row>15</xdr:row>
      <xdr:rowOff>154215</xdr:rowOff>
    </xdr:from>
    <xdr:to>
      <xdr:col>6</xdr:col>
      <xdr:colOff>650202</xdr:colOff>
      <xdr:row>35</xdr:row>
      <xdr:rowOff>99785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7D09A6-0E6A-558D-7696-2813CBF0AE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541618</xdr:colOff>
      <xdr:row>25</xdr:row>
      <xdr:rowOff>35753</xdr:rowOff>
    </xdr:from>
    <xdr:to>
      <xdr:col>6</xdr:col>
      <xdr:colOff>199037</xdr:colOff>
      <xdr:row>27</xdr:row>
      <xdr:rowOff>13341</xdr:rowOff>
    </xdr:to>
    <xdr:sp macro="" textlink="Q13">
      <xdr:nvSpPr>
        <xdr:cNvPr id="7" name="TextBox 6">
          <a:extLst>
            <a:ext uri="{FF2B5EF4-FFF2-40B4-BE49-F238E27FC236}">
              <a16:creationId xmlns:a16="http://schemas.microsoft.com/office/drawing/2014/main" id="{EA6FE2CF-B9EC-40BA-B41D-C4F1C90A451F}"/>
            </a:ext>
          </a:extLst>
        </xdr:cNvPr>
        <xdr:cNvSpPr txBox="1"/>
      </xdr:nvSpPr>
      <xdr:spPr>
        <a:xfrm>
          <a:off x="541618" y="4607753"/>
          <a:ext cx="3666990" cy="34044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8BCBF589-D896-4105-AC48-8DD22EFB2172}" type="TxLink">
            <a:rPr lang="en-US" sz="2400" b="1" i="0" u="none" strike="noStrike">
              <a:solidFill>
                <a:srgbClr val="FF0000"/>
              </a:solidFill>
              <a:latin typeface="Aptos Narrow"/>
            </a:rPr>
            <a:pPr/>
            <a:t>75%</a:t>
          </a:fld>
          <a:endParaRPr lang="en-US" sz="48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265545</xdr:colOff>
      <xdr:row>0</xdr:row>
      <xdr:rowOff>0</xdr:rowOff>
    </xdr:from>
    <xdr:to>
      <xdr:col>11</xdr:col>
      <xdr:colOff>1540988</xdr:colOff>
      <xdr:row>22</xdr:row>
      <xdr:rowOff>63500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7F56FE6-74C7-4E22-9520-DC764E989C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356260</xdr:colOff>
      <xdr:row>15</xdr:row>
      <xdr:rowOff>124527</xdr:rowOff>
    </xdr:from>
    <xdr:to>
      <xdr:col>11</xdr:col>
      <xdr:colOff>1587084</xdr:colOff>
      <xdr:row>35</xdr:row>
      <xdr:rowOff>70098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38278D5-A988-4D36-AB78-6110F5009D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264528</xdr:colOff>
      <xdr:row>25</xdr:row>
      <xdr:rowOff>93480</xdr:rowOff>
    </xdr:from>
    <xdr:to>
      <xdr:col>11</xdr:col>
      <xdr:colOff>1168856</xdr:colOff>
      <xdr:row>27</xdr:row>
      <xdr:rowOff>71068</xdr:rowOff>
    </xdr:to>
    <xdr:sp macro="" textlink="Q32">
      <xdr:nvSpPr>
        <xdr:cNvPr id="11" name="TextBox 10">
          <a:extLst>
            <a:ext uri="{FF2B5EF4-FFF2-40B4-BE49-F238E27FC236}">
              <a16:creationId xmlns:a16="http://schemas.microsoft.com/office/drawing/2014/main" id="{F75F83A8-20CE-413C-9C59-CE43D1CA4414}"/>
            </a:ext>
          </a:extLst>
        </xdr:cNvPr>
        <xdr:cNvSpPr txBox="1"/>
      </xdr:nvSpPr>
      <xdr:spPr>
        <a:xfrm>
          <a:off x="5194437" y="4757844"/>
          <a:ext cx="3328874" cy="3470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1507F077-F6D1-4D56-BC25-5640043E2E04}" type="TxLink">
            <a:rPr lang="en-US" sz="2400" b="1" i="0" u="none" strike="noStrike">
              <a:solidFill>
                <a:srgbClr val="FF0000"/>
              </a:solidFill>
              <a:latin typeface="Aptos Narrow"/>
            </a:rPr>
            <a:pPr/>
            <a:t>75%</a:t>
          </a:fld>
          <a:endParaRPr lang="en-US" sz="88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132095</xdr:colOff>
      <xdr:row>10</xdr:row>
      <xdr:rowOff>175461</xdr:rowOff>
    </xdr:from>
    <xdr:to>
      <xdr:col>11</xdr:col>
      <xdr:colOff>1036423</xdr:colOff>
      <xdr:row>12</xdr:row>
      <xdr:rowOff>153049</xdr:rowOff>
    </xdr:to>
    <xdr:sp macro="" textlink="Q30">
      <xdr:nvSpPr>
        <xdr:cNvPr id="17" name="TextBox 16">
          <a:extLst>
            <a:ext uri="{FF2B5EF4-FFF2-40B4-BE49-F238E27FC236}">
              <a16:creationId xmlns:a16="http://schemas.microsoft.com/office/drawing/2014/main" id="{DE48CD10-9861-42DD-B7CE-336E992EB793}"/>
            </a:ext>
          </a:extLst>
        </xdr:cNvPr>
        <xdr:cNvSpPr txBox="1"/>
      </xdr:nvSpPr>
      <xdr:spPr>
        <a:xfrm>
          <a:off x="5062004" y="2045825"/>
          <a:ext cx="3328874" cy="3470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F5D031DA-D409-4093-8A15-E92C04F0AA32}" type="TxLink">
            <a:rPr lang="en-US" sz="2400" b="1" i="0" u="none" strike="noStrike">
              <a:solidFill>
                <a:srgbClr val="92D050"/>
              </a:solidFill>
              <a:latin typeface="Aptos Narrow"/>
            </a:rPr>
            <a:pPr/>
            <a:t>25%</a:t>
          </a:fld>
          <a:endParaRPr lang="en-US" sz="4800">
            <a:solidFill>
              <a:srgbClr val="92D050"/>
            </a:solidFill>
          </a:endParaRPr>
        </a:p>
      </xdr:txBody>
    </xdr:sp>
    <xdr:clientData/>
  </xdr:twoCellAnchor>
  <xdr:twoCellAnchor>
    <xdr:from>
      <xdr:col>0</xdr:col>
      <xdr:colOff>291812</xdr:colOff>
      <xdr:row>12</xdr:row>
      <xdr:rowOff>140610</xdr:rowOff>
    </xdr:from>
    <xdr:to>
      <xdr:col>5</xdr:col>
      <xdr:colOff>554349</xdr:colOff>
      <xdr:row>14</xdr:row>
      <xdr:rowOff>121373</xdr:rowOff>
    </xdr:to>
    <xdr:sp macro="" textlink="P7">
      <xdr:nvSpPr>
        <xdr:cNvPr id="5" name="TextBox 4">
          <a:extLst>
            <a:ext uri="{FF2B5EF4-FFF2-40B4-BE49-F238E27FC236}">
              <a16:creationId xmlns:a16="http://schemas.microsoft.com/office/drawing/2014/main" id="{9DF07157-7FF9-4A32-9A27-03A4FB077787}"/>
            </a:ext>
          </a:extLst>
        </xdr:cNvPr>
        <xdr:cNvSpPr txBox="1"/>
      </xdr:nvSpPr>
      <xdr:spPr>
        <a:xfrm>
          <a:off x="291812" y="2314551"/>
          <a:ext cx="3288125" cy="3393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A45EAFA8-8DE2-44D9-B37A-65BAAA139E33}" type="TxLink">
            <a:rPr lang="en-US" sz="1600" b="1" i="0" u="none" strike="noStrike">
              <a:solidFill>
                <a:srgbClr val="92D050"/>
              </a:solidFill>
              <a:latin typeface="Aptos Narrow"/>
            </a:rPr>
            <a:pPr/>
            <a:t>666,10</a:t>
          </a:fld>
          <a:endParaRPr lang="en-US" sz="3600">
            <a:solidFill>
              <a:srgbClr val="92D050"/>
            </a:solidFill>
          </a:endParaRPr>
        </a:p>
      </xdr:txBody>
    </xdr:sp>
    <xdr:clientData/>
  </xdr:twoCellAnchor>
  <xdr:twoCellAnchor>
    <xdr:from>
      <xdr:col>7</xdr:col>
      <xdr:colOff>535168</xdr:colOff>
      <xdr:row>12</xdr:row>
      <xdr:rowOff>163021</xdr:rowOff>
    </xdr:from>
    <xdr:to>
      <xdr:col>11</xdr:col>
      <xdr:colOff>805735</xdr:colOff>
      <xdr:row>14</xdr:row>
      <xdr:rowOff>143784</xdr:rowOff>
    </xdr:to>
    <xdr:sp macro="" textlink="P23">
      <xdr:nvSpPr>
        <xdr:cNvPr id="8" name="TextBox 7">
          <a:extLst>
            <a:ext uri="{FF2B5EF4-FFF2-40B4-BE49-F238E27FC236}">
              <a16:creationId xmlns:a16="http://schemas.microsoft.com/office/drawing/2014/main" id="{0B14B277-D985-433E-871E-BFF48B478E11}"/>
            </a:ext>
          </a:extLst>
        </xdr:cNvPr>
        <xdr:cNvSpPr txBox="1"/>
      </xdr:nvSpPr>
      <xdr:spPr>
        <a:xfrm>
          <a:off x="4804609" y="2336962"/>
          <a:ext cx="3284950" cy="3393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77C4FCF9-6001-4312-BB90-33DD89AFE91E}" type="TxLink">
            <a:rPr lang="en-US" sz="1600" b="1" i="0" u="none" strike="noStrike">
              <a:solidFill>
                <a:srgbClr val="92D050"/>
              </a:solidFill>
              <a:latin typeface="Aptos Narrow"/>
            </a:rPr>
            <a:pPr/>
            <a:t>666,10</a:t>
          </a:fld>
          <a:endParaRPr lang="en-US" sz="4800">
            <a:solidFill>
              <a:srgbClr val="92D050"/>
            </a:solidFill>
          </a:endParaRPr>
        </a:p>
      </xdr:txBody>
    </xdr:sp>
    <xdr:clientData/>
  </xdr:twoCellAnchor>
  <xdr:twoCellAnchor>
    <xdr:from>
      <xdr:col>1</xdr:col>
      <xdr:colOff>213371</xdr:colOff>
      <xdr:row>12</xdr:row>
      <xdr:rowOff>137434</xdr:rowOff>
    </xdr:from>
    <xdr:to>
      <xdr:col>6</xdr:col>
      <xdr:colOff>475908</xdr:colOff>
      <xdr:row>14</xdr:row>
      <xdr:rowOff>118197</xdr:rowOff>
    </xdr:to>
    <xdr:sp macro="" textlink="P7">
      <xdr:nvSpPr>
        <xdr:cNvPr id="9" name="TextBox 8">
          <a:extLst>
            <a:ext uri="{FF2B5EF4-FFF2-40B4-BE49-F238E27FC236}">
              <a16:creationId xmlns:a16="http://schemas.microsoft.com/office/drawing/2014/main" id="{ABEB788E-6325-4EB5-BF4B-EBEFCFDC3105}"/>
            </a:ext>
          </a:extLst>
        </xdr:cNvPr>
        <xdr:cNvSpPr txBox="1"/>
      </xdr:nvSpPr>
      <xdr:spPr>
        <a:xfrm>
          <a:off x="818489" y="2311375"/>
          <a:ext cx="3288125" cy="3393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r>
            <a:rPr lang="en-US" sz="1600">
              <a:solidFill>
                <a:srgbClr val="92D050"/>
              </a:solidFill>
            </a:rPr>
            <a:t>kWh</a:t>
          </a:r>
        </a:p>
      </xdr:txBody>
    </xdr:sp>
    <xdr:clientData/>
  </xdr:twoCellAnchor>
  <xdr:twoCellAnchor>
    <xdr:from>
      <xdr:col>8</xdr:col>
      <xdr:colOff>523962</xdr:colOff>
      <xdr:row>12</xdr:row>
      <xdr:rowOff>151815</xdr:rowOff>
    </xdr:from>
    <xdr:to>
      <xdr:col>11</xdr:col>
      <xdr:colOff>1399647</xdr:colOff>
      <xdr:row>14</xdr:row>
      <xdr:rowOff>135753</xdr:rowOff>
    </xdr:to>
    <xdr:sp macro="" textlink="P7">
      <xdr:nvSpPr>
        <xdr:cNvPr id="12" name="TextBox 11">
          <a:extLst>
            <a:ext uri="{FF2B5EF4-FFF2-40B4-BE49-F238E27FC236}">
              <a16:creationId xmlns:a16="http://schemas.microsoft.com/office/drawing/2014/main" id="{6DCD142E-5861-48A4-A03D-A7EE541A8ACD}"/>
            </a:ext>
          </a:extLst>
        </xdr:cNvPr>
        <xdr:cNvSpPr txBox="1"/>
      </xdr:nvSpPr>
      <xdr:spPr>
        <a:xfrm>
          <a:off x="5398521" y="2325756"/>
          <a:ext cx="3284950" cy="3425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r>
            <a:rPr lang="en-US" sz="1600">
              <a:solidFill>
                <a:srgbClr val="92D050"/>
              </a:solidFill>
            </a:rPr>
            <a:t>kWh</a:t>
          </a:r>
        </a:p>
      </xdr:txBody>
    </xdr:sp>
    <xdr:clientData/>
  </xdr:twoCellAnchor>
  <xdr:twoCellAnchor>
    <xdr:from>
      <xdr:col>1</xdr:col>
      <xdr:colOff>230927</xdr:colOff>
      <xdr:row>27</xdr:row>
      <xdr:rowOff>14170</xdr:rowOff>
    </xdr:from>
    <xdr:to>
      <xdr:col>6</xdr:col>
      <xdr:colOff>483939</xdr:colOff>
      <xdr:row>28</xdr:row>
      <xdr:rowOff>174227</xdr:rowOff>
    </xdr:to>
    <xdr:sp macro="" textlink="P7">
      <xdr:nvSpPr>
        <xdr:cNvPr id="14" name="TextBox 13">
          <a:extLst>
            <a:ext uri="{FF2B5EF4-FFF2-40B4-BE49-F238E27FC236}">
              <a16:creationId xmlns:a16="http://schemas.microsoft.com/office/drawing/2014/main" id="{F3ACA4C7-1C03-45E4-940A-1A2F53EDDA30}"/>
            </a:ext>
          </a:extLst>
        </xdr:cNvPr>
        <xdr:cNvSpPr txBox="1"/>
      </xdr:nvSpPr>
      <xdr:spPr>
        <a:xfrm>
          <a:off x="836045" y="4899935"/>
          <a:ext cx="3278600" cy="3393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r>
            <a:rPr lang="en-US" sz="1600">
              <a:solidFill>
                <a:srgbClr val="FF0000"/>
              </a:solidFill>
            </a:rPr>
            <a:t>kWh</a:t>
          </a:r>
        </a:p>
      </xdr:txBody>
    </xdr:sp>
    <xdr:clientData/>
  </xdr:twoCellAnchor>
  <xdr:twoCellAnchor>
    <xdr:from>
      <xdr:col>0</xdr:col>
      <xdr:colOff>229431</xdr:colOff>
      <xdr:row>27</xdr:row>
      <xdr:rowOff>12488</xdr:rowOff>
    </xdr:from>
    <xdr:to>
      <xdr:col>5</xdr:col>
      <xdr:colOff>495143</xdr:colOff>
      <xdr:row>28</xdr:row>
      <xdr:rowOff>159845</xdr:rowOff>
    </xdr:to>
    <xdr:sp macro="" textlink="P9">
      <xdr:nvSpPr>
        <xdr:cNvPr id="15" name="TextBox 14">
          <a:extLst>
            <a:ext uri="{FF2B5EF4-FFF2-40B4-BE49-F238E27FC236}">
              <a16:creationId xmlns:a16="http://schemas.microsoft.com/office/drawing/2014/main" id="{43C61684-4DB3-4FE8-95F6-BECFF099DA22}"/>
            </a:ext>
          </a:extLst>
        </xdr:cNvPr>
        <xdr:cNvSpPr txBox="1"/>
      </xdr:nvSpPr>
      <xdr:spPr>
        <a:xfrm>
          <a:off x="229431" y="4898253"/>
          <a:ext cx="3291300" cy="3266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56171614-3A63-40DF-AE20-1504AFA15129}" type="TxLink">
            <a:rPr lang="en-US" sz="1600" b="1" i="0" u="none" strike="noStrike">
              <a:solidFill>
                <a:srgbClr val="FF0000"/>
              </a:solidFill>
              <a:latin typeface="Aptos Narrow"/>
            </a:rPr>
            <a:pPr/>
            <a:t>1966,55</a:t>
          </a:fld>
          <a:endParaRPr lang="en-US" sz="48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568783</xdr:colOff>
      <xdr:row>27</xdr:row>
      <xdr:rowOff>41251</xdr:rowOff>
    </xdr:from>
    <xdr:to>
      <xdr:col>11</xdr:col>
      <xdr:colOff>842525</xdr:colOff>
      <xdr:row>29</xdr:row>
      <xdr:rowOff>6139</xdr:rowOff>
    </xdr:to>
    <xdr:sp macro="" textlink="P27">
      <xdr:nvSpPr>
        <xdr:cNvPr id="16" name="TextBox 15">
          <a:extLst>
            <a:ext uri="{FF2B5EF4-FFF2-40B4-BE49-F238E27FC236}">
              <a16:creationId xmlns:a16="http://schemas.microsoft.com/office/drawing/2014/main" id="{D4C07DFF-A85A-41A8-BF30-8AE6C381777C}"/>
            </a:ext>
          </a:extLst>
        </xdr:cNvPr>
        <xdr:cNvSpPr txBox="1"/>
      </xdr:nvSpPr>
      <xdr:spPr>
        <a:xfrm>
          <a:off x="4838224" y="4927016"/>
          <a:ext cx="3288125" cy="3234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E042A034-94F4-4027-89C2-E5A5A58B849C}" type="TxLink">
            <a:rPr lang="en-US" sz="1600" b="1" i="0" u="none" strike="noStrike">
              <a:solidFill>
                <a:srgbClr val="FF0000"/>
              </a:solidFill>
              <a:latin typeface="Aptos Narrow"/>
            </a:rPr>
            <a:pPr/>
            <a:t>1966,55</a:t>
          </a:fld>
          <a:endParaRPr lang="en-US" sz="66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611927</xdr:colOff>
      <xdr:row>27</xdr:row>
      <xdr:rowOff>14169</xdr:rowOff>
    </xdr:from>
    <xdr:to>
      <xdr:col>11</xdr:col>
      <xdr:colOff>1471737</xdr:colOff>
      <xdr:row>29</xdr:row>
      <xdr:rowOff>4457</xdr:rowOff>
    </xdr:to>
    <xdr:sp macro="" textlink="P7">
      <xdr:nvSpPr>
        <xdr:cNvPr id="18" name="TextBox 17">
          <a:extLst>
            <a:ext uri="{FF2B5EF4-FFF2-40B4-BE49-F238E27FC236}">
              <a16:creationId xmlns:a16="http://schemas.microsoft.com/office/drawing/2014/main" id="{39673810-4E90-4114-95CE-96C7F5716A42}"/>
            </a:ext>
          </a:extLst>
        </xdr:cNvPr>
        <xdr:cNvSpPr txBox="1"/>
      </xdr:nvSpPr>
      <xdr:spPr>
        <a:xfrm>
          <a:off x="5486486" y="4899934"/>
          <a:ext cx="3269075" cy="3488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r>
            <a:rPr lang="en-US" sz="1600">
              <a:solidFill>
                <a:srgbClr val="FF0000"/>
              </a:solidFill>
            </a:rPr>
            <a:t>kWh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5662E-F4EB-4DC6-A45E-736B1A56FCF4}">
  <dimension ref="A1:AO105"/>
  <sheetViews>
    <sheetView showGridLines="0" tabSelected="1" zoomScale="85" zoomScaleNormal="85" workbookViewId="0">
      <selection activeCell="W17" sqref="W17"/>
    </sheetView>
  </sheetViews>
  <sheetFormatPr defaultRowHeight="15" x14ac:dyDescent="0.25"/>
  <cols>
    <col min="1" max="2" width="8.7109375" customWidth="1"/>
    <col min="3" max="3" width="8.7109375" style="2"/>
    <col min="5" max="5" width="8.7109375" style="1"/>
    <col min="7" max="7" width="9.140625" customWidth="1"/>
    <col min="9" max="9" width="10.7109375" customWidth="1"/>
    <col min="10" max="10" width="8.7109375" customWidth="1"/>
    <col min="11" max="11" width="15.140625" customWidth="1"/>
    <col min="12" max="12" width="24.85546875" customWidth="1"/>
    <col min="13" max="13" width="7.5703125" customWidth="1"/>
    <col min="14" max="23" width="8.7109375" customWidth="1"/>
    <col min="24" max="27" width="8.7109375" style="16" customWidth="1"/>
    <col min="28" max="28" width="8.7109375" customWidth="1"/>
    <col min="29" max="29" width="8.7109375" style="16" customWidth="1"/>
    <col min="30" max="39" width="8.7109375" customWidth="1"/>
    <col min="40" max="40" width="26.28515625" customWidth="1"/>
  </cols>
  <sheetData>
    <row r="1" spans="1:41" x14ac:dyDescent="0.25">
      <c r="C1" s="9"/>
      <c r="E1" s="10"/>
    </row>
    <row r="2" spans="1:41" x14ac:dyDescent="0.25">
      <c r="C2" s="9"/>
      <c r="E2" s="10"/>
      <c r="N2" s="19" t="s">
        <v>72</v>
      </c>
      <c r="O2" s="7"/>
      <c r="P2" s="7"/>
      <c r="Q2" s="20"/>
    </row>
    <row r="3" spans="1:41" x14ac:dyDescent="0.25">
      <c r="C3" s="9"/>
      <c r="E3" s="10"/>
      <c r="M3" s="4"/>
      <c r="N3" s="21"/>
      <c r="O3" s="4"/>
      <c r="P3" s="4"/>
      <c r="Q3" s="22"/>
    </row>
    <row r="4" spans="1:41" x14ac:dyDescent="0.25">
      <c r="C4" s="9"/>
      <c r="E4" s="10"/>
      <c r="N4" s="21" t="s">
        <v>0</v>
      </c>
      <c r="O4" s="4"/>
      <c r="P4" s="23">
        <f>AVERAGE(Y6:Y68)</f>
        <v>12.567924528301887</v>
      </c>
      <c r="Q4" s="22" t="s">
        <v>77</v>
      </c>
      <c r="AG4" t="s">
        <v>1</v>
      </c>
      <c r="AH4" t="s">
        <v>2</v>
      </c>
      <c r="AI4" t="s">
        <v>3</v>
      </c>
      <c r="AJ4" t="s">
        <v>4</v>
      </c>
      <c r="AL4" t="s">
        <v>1</v>
      </c>
      <c r="AM4" t="s">
        <v>2</v>
      </c>
      <c r="AN4" t="s">
        <v>3</v>
      </c>
      <c r="AO4" t="s">
        <v>4</v>
      </c>
    </row>
    <row r="5" spans="1:41" x14ac:dyDescent="0.25">
      <c r="C5" s="9"/>
      <c r="E5" s="10"/>
      <c r="N5" s="21" t="s">
        <v>5</v>
      </c>
      <c r="O5" s="4"/>
      <c r="P5" s="24">
        <f>AVERAGE(AA6:AA68)</f>
        <v>48.75277777777778</v>
      </c>
      <c r="Q5" s="22" t="s">
        <v>77</v>
      </c>
      <c r="W5" s="5" t="s">
        <v>6</v>
      </c>
      <c r="Y5" s="6" t="s">
        <v>7</v>
      </c>
      <c r="AA5" s="6" t="s">
        <v>8</v>
      </c>
      <c r="AC5" s="25" t="s">
        <v>66</v>
      </c>
      <c r="AG5">
        <v>1</v>
      </c>
      <c r="AH5">
        <f>1</f>
        <v>1</v>
      </c>
      <c r="AI5">
        <f>IF(AG5&lt;=($Q$30*100),1,0)</f>
        <v>1</v>
      </c>
      <c r="AJ5">
        <f>IF(AG5&lt;=($Q$32*100),1,0)</f>
        <v>1</v>
      </c>
      <c r="AL5">
        <v>1</v>
      </c>
      <c r="AM5">
        <f>1</f>
        <v>1</v>
      </c>
      <c r="AN5">
        <f t="shared" ref="AN5:AN36" si="0">IF(AL5&lt;=($Q$11*100),1,0)</f>
        <v>1</v>
      </c>
      <c r="AO5">
        <f t="shared" ref="AO5:AO36" si="1">IF(AL5&lt;=($Q$13*100),1,0)</f>
        <v>1</v>
      </c>
    </row>
    <row r="6" spans="1:41" ht="15.95" customHeight="1" x14ac:dyDescent="0.25">
      <c r="A6" s="34"/>
      <c r="B6" s="34"/>
      <c r="C6" s="34"/>
      <c r="D6" s="34"/>
      <c r="E6" s="34"/>
      <c r="F6" s="15"/>
      <c r="N6" s="21" t="s">
        <v>67</v>
      </c>
      <c r="O6" s="4"/>
      <c r="P6" s="24">
        <f>IF(P4&gt;P5,0,P5-P4)</f>
        <v>36.184853249475893</v>
      </c>
      <c r="Q6" s="22" t="s">
        <v>77</v>
      </c>
      <c r="W6" t="s">
        <v>9</v>
      </c>
      <c r="Y6" s="17">
        <v>0</v>
      </c>
      <c r="AA6" s="17">
        <v>66</v>
      </c>
      <c r="AC6" s="16">
        <f>IF(Y6&gt;AA6,0,AA6-Y6)</f>
        <v>66</v>
      </c>
      <c r="AG6">
        <f>AG5+1</f>
        <v>2</v>
      </c>
      <c r="AH6">
        <f>1</f>
        <v>1</v>
      </c>
      <c r="AI6">
        <f t="shared" ref="AI6:AI69" si="2">IF(AG6&lt;=($Q$30*100),1,0)</f>
        <v>1</v>
      </c>
      <c r="AJ6">
        <f t="shared" ref="AJ6:AJ69" si="3">IF(AG6&lt;=($Q$32*100),1,0)</f>
        <v>1</v>
      </c>
      <c r="AL6">
        <f>AL5+1</f>
        <v>2</v>
      </c>
      <c r="AM6">
        <f>1</f>
        <v>1</v>
      </c>
      <c r="AN6">
        <f t="shared" si="0"/>
        <v>1</v>
      </c>
      <c r="AO6">
        <f t="shared" si="1"/>
        <v>1</v>
      </c>
    </row>
    <row r="7" spans="1:41" x14ac:dyDescent="0.25">
      <c r="C7" s="9"/>
      <c r="E7" s="10"/>
      <c r="N7" s="8" t="s">
        <v>10</v>
      </c>
      <c r="P7" s="25">
        <f>SUM(Y6:Y59)</f>
        <v>666.1</v>
      </c>
      <c r="Q7" s="22" t="s">
        <v>77</v>
      </c>
      <c r="W7" t="s">
        <v>11</v>
      </c>
      <c r="Y7" s="17">
        <v>0</v>
      </c>
      <c r="AA7" s="17">
        <v>0</v>
      </c>
      <c r="AC7" s="16">
        <f t="shared" ref="AC7:AC59" si="4">IF(Y7&gt;AA7,0,AA7-Y7)</f>
        <v>0</v>
      </c>
      <c r="AG7">
        <f t="shared" ref="AG7:AG70" si="5">AG6+1</f>
        <v>3</v>
      </c>
      <c r="AH7">
        <f>1</f>
        <v>1</v>
      </c>
      <c r="AI7">
        <f t="shared" si="2"/>
        <v>1</v>
      </c>
      <c r="AJ7">
        <f t="shared" si="3"/>
        <v>1</v>
      </c>
      <c r="AL7">
        <f t="shared" ref="AL7:AL70" si="6">AL6+1</f>
        <v>3</v>
      </c>
      <c r="AM7">
        <f>1</f>
        <v>1</v>
      </c>
      <c r="AN7">
        <f t="shared" si="0"/>
        <v>1</v>
      </c>
      <c r="AO7">
        <f t="shared" si="1"/>
        <v>1</v>
      </c>
    </row>
    <row r="8" spans="1:41" x14ac:dyDescent="0.25">
      <c r="C8" s="9"/>
      <c r="E8" s="10"/>
      <c r="N8" s="8" t="s">
        <v>12</v>
      </c>
      <c r="P8" s="5">
        <f>SUM(AA6:AA68)</f>
        <v>2632.65</v>
      </c>
      <c r="Q8" s="22" t="s">
        <v>77</v>
      </c>
      <c r="W8" t="s">
        <v>13</v>
      </c>
      <c r="Y8" s="17">
        <v>0</v>
      </c>
      <c r="AA8" s="17">
        <v>30</v>
      </c>
      <c r="AC8" s="16">
        <f t="shared" si="4"/>
        <v>30</v>
      </c>
      <c r="AG8">
        <f t="shared" si="5"/>
        <v>4</v>
      </c>
      <c r="AH8">
        <f>1</f>
        <v>1</v>
      </c>
      <c r="AI8">
        <f t="shared" si="2"/>
        <v>1</v>
      </c>
      <c r="AJ8">
        <f t="shared" si="3"/>
        <v>1</v>
      </c>
      <c r="AL8">
        <f t="shared" si="6"/>
        <v>4</v>
      </c>
      <c r="AM8">
        <f>1</f>
        <v>1</v>
      </c>
      <c r="AN8">
        <f t="shared" si="0"/>
        <v>1</v>
      </c>
      <c r="AO8">
        <f t="shared" si="1"/>
        <v>1</v>
      </c>
    </row>
    <row r="9" spans="1:41" x14ac:dyDescent="0.25">
      <c r="C9" s="9"/>
      <c r="E9" s="10"/>
      <c r="N9" s="21" t="s">
        <v>68</v>
      </c>
      <c r="O9" s="4"/>
      <c r="P9" s="24">
        <f>IF(P7&gt;P8,0,P8-P7)</f>
        <v>1966.5500000000002</v>
      </c>
      <c r="Q9" s="22" t="s">
        <v>77</v>
      </c>
      <c r="W9" t="s">
        <v>14</v>
      </c>
      <c r="Y9" s="17">
        <v>0</v>
      </c>
      <c r="AA9" s="17">
        <v>68</v>
      </c>
      <c r="AC9" s="16">
        <f t="shared" si="4"/>
        <v>68</v>
      </c>
      <c r="AG9">
        <f t="shared" si="5"/>
        <v>5</v>
      </c>
      <c r="AH9">
        <f>1</f>
        <v>1</v>
      </c>
      <c r="AI9">
        <f t="shared" si="2"/>
        <v>1</v>
      </c>
      <c r="AJ9">
        <f t="shared" si="3"/>
        <v>1</v>
      </c>
      <c r="AL9">
        <f t="shared" si="6"/>
        <v>5</v>
      </c>
      <c r="AM9">
        <f>1</f>
        <v>1</v>
      </c>
      <c r="AN9">
        <f t="shared" si="0"/>
        <v>1</v>
      </c>
      <c r="AO9">
        <f t="shared" si="1"/>
        <v>1</v>
      </c>
    </row>
    <row r="10" spans="1:41" ht="14.45" customHeight="1" x14ac:dyDescent="0.25">
      <c r="C10" s="9"/>
      <c r="E10" s="10"/>
      <c r="N10" s="8"/>
      <c r="Q10" s="26"/>
      <c r="W10" t="s">
        <v>16</v>
      </c>
      <c r="Y10" s="17">
        <v>0</v>
      </c>
      <c r="AA10" s="17">
        <v>61</v>
      </c>
      <c r="AC10" s="16">
        <f t="shared" si="4"/>
        <v>61</v>
      </c>
      <c r="AG10">
        <f t="shared" si="5"/>
        <v>6</v>
      </c>
      <c r="AH10">
        <f>1</f>
        <v>1</v>
      </c>
      <c r="AI10">
        <f t="shared" si="2"/>
        <v>1</v>
      </c>
      <c r="AJ10">
        <f t="shared" si="3"/>
        <v>1</v>
      </c>
      <c r="AL10">
        <f t="shared" si="6"/>
        <v>6</v>
      </c>
      <c r="AM10">
        <f>1</f>
        <v>1</v>
      </c>
      <c r="AN10">
        <f t="shared" si="0"/>
        <v>1</v>
      </c>
      <c r="AO10">
        <f t="shared" si="1"/>
        <v>1</v>
      </c>
    </row>
    <row r="11" spans="1:41" x14ac:dyDescent="0.25">
      <c r="C11" s="9"/>
      <c r="E11" s="10"/>
      <c r="N11" s="21" t="s">
        <v>15</v>
      </c>
      <c r="O11" s="24"/>
      <c r="P11" s="24"/>
      <c r="Q11" s="27">
        <f>Q15</f>
        <v>0.2530150228856855</v>
      </c>
      <c r="W11" t="s">
        <v>17</v>
      </c>
      <c r="Y11" s="17">
        <v>0</v>
      </c>
      <c r="AA11" s="17">
        <v>0</v>
      </c>
      <c r="AC11" s="16">
        <f t="shared" si="4"/>
        <v>0</v>
      </c>
      <c r="AG11">
        <f t="shared" si="5"/>
        <v>7</v>
      </c>
      <c r="AH11">
        <f>1</f>
        <v>1</v>
      </c>
      <c r="AI11">
        <f t="shared" si="2"/>
        <v>1</v>
      </c>
      <c r="AJ11">
        <f t="shared" si="3"/>
        <v>1</v>
      </c>
      <c r="AL11">
        <f t="shared" si="6"/>
        <v>7</v>
      </c>
      <c r="AM11">
        <f>1</f>
        <v>1</v>
      </c>
      <c r="AN11">
        <f t="shared" si="0"/>
        <v>1</v>
      </c>
      <c r="AO11">
        <f t="shared" si="1"/>
        <v>1</v>
      </c>
    </row>
    <row r="12" spans="1:41" x14ac:dyDescent="0.25">
      <c r="A12" t="s">
        <v>78</v>
      </c>
      <c r="C12" s="9"/>
      <c r="E12" s="10"/>
      <c r="N12" s="21"/>
      <c r="O12" s="4"/>
      <c r="P12" s="4"/>
      <c r="Q12" s="22"/>
      <c r="W12" t="s">
        <v>19</v>
      </c>
      <c r="X12">
        <v>10</v>
      </c>
      <c r="Y12" s="16">
        <f>X12+Z12</f>
        <v>50</v>
      </c>
      <c r="Z12">
        <v>40</v>
      </c>
      <c r="AA12">
        <v>38</v>
      </c>
      <c r="AC12" s="16">
        <f>IF(Y12&gt;AA12,0,AA12-Y12)</f>
        <v>0</v>
      </c>
      <c r="AG12">
        <f t="shared" si="5"/>
        <v>8</v>
      </c>
      <c r="AH12">
        <f>1</f>
        <v>1</v>
      </c>
      <c r="AI12">
        <f t="shared" si="2"/>
        <v>1</v>
      </c>
      <c r="AJ12">
        <f t="shared" si="3"/>
        <v>1</v>
      </c>
      <c r="AL12">
        <f t="shared" si="6"/>
        <v>8</v>
      </c>
      <c r="AM12">
        <f>1</f>
        <v>1</v>
      </c>
      <c r="AN12">
        <f t="shared" si="0"/>
        <v>1</v>
      </c>
      <c r="AO12">
        <f t="shared" si="1"/>
        <v>1</v>
      </c>
    </row>
    <row r="13" spans="1:41" x14ac:dyDescent="0.25">
      <c r="C13" s="9"/>
      <c r="E13" s="10"/>
      <c r="N13" s="21" t="s">
        <v>18</v>
      </c>
      <c r="O13" s="28"/>
      <c r="P13" s="4"/>
      <c r="Q13" s="27">
        <f>Q17</f>
        <v>0.74698497711431455</v>
      </c>
      <c r="W13" t="s">
        <v>20</v>
      </c>
      <c r="Y13" s="16">
        <v>0</v>
      </c>
      <c r="AA13" s="17">
        <v>46</v>
      </c>
      <c r="AC13" s="16">
        <f t="shared" si="4"/>
        <v>46</v>
      </c>
      <c r="AG13">
        <f t="shared" si="5"/>
        <v>9</v>
      </c>
      <c r="AH13">
        <f>1</f>
        <v>1</v>
      </c>
      <c r="AI13">
        <f t="shared" si="2"/>
        <v>1</v>
      </c>
      <c r="AJ13">
        <f t="shared" si="3"/>
        <v>1</v>
      </c>
      <c r="AL13">
        <f t="shared" si="6"/>
        <v>9</v>
      </c>
      <c r="AM13">
        <f>1</f>
        <v>1</v>
      </c>
      <c r="AN13">
        <f t="shared" si="0"/>
        <v>1</v>
      </c>
      <c r="AO13">
        <f t="shared" si="1"/>
        <v>1</v>
      </c>
    </row>
    <row r="14" spans="1:41" x14ac:dyDescent="0.25">
      <c r="C14" s="9"/>
      <c r="E14" s="10"/>
      <c r="N14" s="21"/>
      <c r="O14" s="28"/>
      <c r="P14" s="4"/>
      <c r="Q14" s="22"/>
      <c r="W14" t="s">
        <v>21</v>
      </c>
      <c r="Y14" s="16">
        <v>0</v>
      </c>
      <c r="AA14" s="17">
        <v>147</v>
      </c>
      <c r="AC14" s="16">
        <f t="shared" si="4"/>
        <v>147</v>
      </c>
      <c r="AG14">
        <f t="shared" si="5"/>
        <v>10</v>
      </c>
      <c r="AH14">
        <f>1</f>
        <v>1</v>
      </c>
      <c r="AI14">
        <f t="shared" si="2"/>
        <v>1</v>
      </c>
      <c r="AJ14">
        <f t="shared" si="3"/>
        <v>1</v>
      </c>
      <c r="AL14">
        <f t="shared" si="6"/>
        <v>10</v>
      </c>
      <c r="AM14">
        <f>1</f>
        <v>1</v>
      </c>
      <c r="AN14">
        <f t="shared" si="0"/>
        <v>1</v>
      </c>
      <c r="AO14">
        <f t="shared" si="1"/>
        <v>1</v>
      </c>
    </row>
    <row r="15" spans="1:41" x14ac:dyDescent="0.25">
      <c r="C15" s="9"/>
      <c r="E15" s="10"/>
      <c r="N15" s="21" t="s">
        <v>69</v>
      </c>
      <c r="O15" s="28"/>
      <c r="P15" s="4"/>
      <c r="Q15" s="29">
        <f>P7/P8</f>
        <v>0.2530150228856855</v>
      </c>
      <c r="W15" t="s">
        <v>22</v>
      </c>
      <c r="Y15">
        <v>80</v>
      </c>
      <c r="AA15" s="17">
        <v>30</v>
      </c>
      <c r="AC15" s="16">
        <f t="shared" si="4"/>
        <v>0</v>
      </c>
      <c r="AG15">
        <f t="shared" si="5"/>
        <v>11</v>
      </c>
      <c r="AH15">
        <f>1</f>
        <v>1</v>
      </c>
      <c r="AI15">
        <f t="shared" si="2"/>
        <v>1</v>
      </c>
      <c r="AJ15">
        <f t="shared" si="3"/>
        <v>1</v>
      </c>
      <c r="AL15">
        <f t="shared" si="6"/>
        <v>11</v>
      </c>
      <c r="AM15">
        <f>1</f>
        <v>1</v>
      </c>
      <c r="AN15">
        <f t="shared" si="0"/>
        <v>1</v>
      </c>
      <c r="AO15">
        <f t="shared" si="1"/>
        <v>1</v>
      </c>
    </row>
    <row r="16" spans="1:41" x14ac:dyDescent="0.25">
      <c r="C16" s="9"/>
      <c r="E16" s="10"/>
      <c r="N16" s="8"/>
      <c r="O16" s="28"/>
      <c r="P16" s="4"/>
      <c r="Q16" s="30"/>
      <c r="W16" t="s">
        <v>23</v>
      </c>
      <c r="Y16" s="16">
        <v>0</v>
      </c>
      <c r="AA16" s="17">
        <v>102</v>
      </c>
      <c r="AC16" s="16">
        <f t="shared" si="4"/>
        <v>102</v>
      </c>
      <c r="AG16">
        <f t="shared" si="5"/>
        <v>12</v>
      </c>
      <c r="AH16">
        <f>1</f>
        <v>1</v>
      </c>
      <c r="AI16">
        <f t="shared" si="2"/>
        <v>1</v>
      </c>
      <c r="AJ16">
        <f t="shared" si="3"/>
        <v>1</v>
      </c>
      <c r="AL16">
        <f t="shared" si="6"/>
        <v>12</v>
      </c>
      <c r="AM16">
        <f>1</f>
        <v>1</v>
      </c>
      <c r="AN16">
        <f t="shared" si="0"/>
        <v>1</v>
      </c>
      <c r="AO16">
        <f t="shared" si="1"/>
        <v>1</v>
      </c>
    </row>
    <row r="17" spans="1:41" x14ac:dyDescent="0.25">
      <c r="C17" s="9"/>
      <c r="E17" s="10"/>
      <c r="H17" s="4"/>
      <c r="I17" s="4"/>
      <c r="J17" s="4"/>
      <c r="K17" s="4"/>
      <c r="L17" s="4"/>
      <c r="M17" s="4"/>
      <c r="N17" s="21" t="s">
        <v>70</v>
      </c>
      <c r="O17" s="28"/>
      <c r="P17" s="4"/>
      <c r="Q17" s="29">
        <f>P9/P8</f>
        <v>0.74698497711431455</v>
      </c>
      <c r="W17" t="s">
        <v>24</v>
      </c>
      <c r="Y17" s="16">
        <v>0</v>
      </c>
      <c r="AA17" s="17">
        <v>54</v>
      </c>
      <c r="AC17" s="16">
        <f t="shared" si="4"/>
        <v>54</v>
      </c>
      <c r="AG17">
        <f t="shared" si="5"/>
        <v>13</v>
      </c>
      <c r="AH17">
        <f>1</f>
        <v>1</v>
      </c>
      <c r="AI17">
        <f t="shared" si="2"/>
        <v>1</v>
      </c>
      <c r="AJ17">
        <f t="shared" si="3"/>
        <v>1</v>
      </c>
      <c r="AL17">
        <f t="shared" si="6"/>
        <v>13</v>
      </c>
      <c r="AM17">
        <f>1</f>
        <v>1</v>
      </c>
      <c r="AN17">
        <f t="shared" si="0"/>
        <v>1</v>
      </c>
      <c r="AO17">
        <f t="shared" si="1"/>
        <v>1</v>
      </c>
    </row>
    <row r="18" spans="1:41" x14ac:dyDescent="0.25">
      <c r="C18" s="9"/>
      <c r="E18" s="10"/>
      <c r="H18" s="4"/>
      <c r="I18" s="4"/>
      <c r="J18" s="4"/>
      <c r="K18" s="4"/>
      <c r="L18" s="4"/>
      <c r="N18" s="8"/>
      <c r="O18" s="3"/>
      <c r="Q18" s="31"/>
      <c r="W18" t="s">
        <v>25</v>
      </c>
      <c r="Y18" s="16">
        <v>0</v>
      </c>
      <c r="AA18" s="17">
        <v>172</v>
      </c>
      <c r="AC18" s="16">
        <f t="shared" si="4"/>
        <v>172</v>
      </c>
      <c r="AG18">
        <f t="shared" si="5"/>
        <v>14</v>
      </c>
      <c r="AH18">
        <f>1</f>
        <v>1</v>
      </c>
      <c r="AI18">
        <f t="shared" si="2"/>
        <v>1</v>
      </c>
      <c r="AJ18">
        <f t="shared" si="3"/>
        <v>1</v>
      </c>
      <c r="AL18">
        <f t="shared" si="6"/>
        <v>14</v>
      </c>
      <c r="AM18">
        <f>1</f>
        <v>1</v>
      </c>
      <c r="AN18">
        <f t="shared" si="0"/>
        <v>1</v>
      </c>
      <c r="AO18">
        <f t="shared" si="1"/>
        <v>1</v>
      </c>
    </row>
    <row r="19" spans="1:41" x14ac:dyDescent="0.25">
      <c r="C19" s="9"/>
      <c r="E19" s="10"/>
      <c r="H19" s="4"/>
      <c r="I19" s="4"/>
      <c r="J19" s="4"/>
      <c r="K19" s="4"/>
      <c r="L19" s="4"/>
      <c r="N19" s="11"/>
      <c r="O19" s="12"/>
      <c r="P19" s="32"/>
      <c r="Q19" s="33"/>
      <c r="R19" s="3"/>
      <c r="V19" t="s">
        <v>80</v>
      </c>
      <c r="W19" t="s">
        <v>26</v>
      </c>
      <c r="Y19" s="16">
        <v>10</v>
      </c>
      <c r="AA19" s="17">
        <v>50</v>
      </c>
      <c r="AC19" s="16">
        <f t="shared" si="4"/>
        <v>40</v>
      </c>
      <c r="AG19">
        <f t="shared" si="5"/>
        <v>15</v>
      </c>
      <c r="AH19">
        <f>1</f>
        <v>1</v>
      </c>
      <c r="AI19">
        <f t="shared" si="2"/>
        <v>1</v>
      </c>
      <c r="AJ19">
        <f t="shared" si="3"/>
        <v>1</v>
      </c>
      <c r="AL19">
        <f t="shared" si="6"/>
        <v>15</v>
      </c>
      <c r="AM19">
        <f>1</f>
        <v>1</v>
      </c>
      <c r="AN19">
        <f t="shared" si="0"/>
        <v>1</v>
      </c>
      <c r="AO19">
        <f t="shared" si="1"/>
        <v>1</v>
      </c>
    </row>
    <row r="20" spans="1:41" x14ac:dyDescent="0.25">
      <c r="C20" s="9"/>
      <c r="E20" s="10"/>
      <c r="H20" s="4"/>
      <c r="I20" s="4"/>
      <c r="J20" s="4"/>
      <c r="K20" s="4"/>
      <c r="L20" s="4"/>
      <c r="P20" s="3"/>
      <c r="R20" s="3"/>
      <c r="W20" t="s">
        <v>27</v>
      </c>
      <c r="Y20" s="16">
        <v>0</v>
      </c>
      <c r="AA20">
        <v>58</v>
      </c>
      <c r="AC20" s="16">
        <f t="shared" si="4"/>
        <v>58</v>
      </c>
      <c r="AG20">
        <f t="shared" si="5"/>
        <v>16</v>
      </c>
      <c r="AH20">
        <f>1</f>
        <v>1</v>
      </c>
      <c r="AI20">
        <f t="shared" si="2"/>
        <v>1</v>
      </c>
      <c r="AJ20">
        <f t="shared" si="3"/>
        <v>1</v>
      </c>
      <c r="AL20">
        <f t="shared" si="6"/>
        <v>16</v>
      </c>
      <c r="AM20">
        <f>1</f>
        <v>1</v>
      </c>
      <c r="AN20">
        <f t="shared" si="0"/>
        <v>1</v>
      </c>
      <c r="AO20">
        <f t="shared" si="1"/>
        <v>1</v>
      </c>
    </row>
    <row r="21" spans="1:41" ht="15.95" customHeight="1" x14ac:dyDescent="0.25">
      <c r="A21" s="34"/>
      <c r="B21" s="34"/>
      <c r="C21" s="34"/>
      <c r="D21" s="34"/>
      <c r="E21" s="34"/>
      <c r="F21" s="15"/>
      <c r="H21" s="4"/>
      <c r="I21" s="4"/>
      <c r="J21" s="4"/>
      <c r="K21" s="4"/>
      <c r="L21" s="4"/>
      <c r="N21" s="19" t="s">
        <v>76</v>
      </c>
      <c r="O21" s="7"/>
      <c r="P21" s="7"/>
      <c r="Q21" s="20"/>
      <c r="R21" s="3"/>
      <c r="W21" t="s">
        <v>28</v>
      </c>
      <c r="Y21" s="41">
        <v>121.1</v>
      </c>
      <c r="AA21">
        <v>104</v>
      </c>
      <c r="AC21" s="16">
        <f t="shared" si="4"/>
        <v>0</v>
      </c>
      <c r="AG21">
        <f t="shared" si="5"/>
        <v>17</v>
      </c>
      <c r="AH21">
        <f>1</f>
        <v>1</v>
      </c>
      <c r="AI21">
        <f t="shared" si="2"/>
        <v>1</v>
      </c>
      <c r="AJ21">
        <f t="shared" si="3"/>
        <v>1</v>
      </c>
      <c r="AL21">
        <f t="shared" si="6"/>
        <v>17</v>
      </c>
      <c r="AM21">
        <f>1</f>
        <v>1</v>
      </c>
      <c r="AN21">
        <f t="shared" si="0"/>
        <v>1</v>
      </c>
      <c r="AO21">
        <f t="shared" si="1"/>
        <v>1</v>
      </c>
    </row>
    <row r="22" spans="1:41" x14ac:dyDescent="0.25">
      <c r="C22" s="9"/>
      <c r="E22" s="10"/>
      <c r="N22" s="21"/>
      <c r="O22" s="4"/>
      <c r="P22" s="4"/>
      <c r="Q22" s="22"/>
      <c r="W22" t="s">
        <v>29</v>
      </c>
      <c r="Y22" s="16">
        <v>0</v>
      </c>
      <c r="AA22" s="17">
        <v>0</v>
      </c>
      <c r="AC22" s="16">
        <f t="shared" si="4"/>
        <v>0</v>
      </c>
      <c r="AG22">
        <f t="shared" si="5"/>
        <v>18</v>
      </c>
      <c r="AH22">
        <f>1</f>
        <v>1</v>
      </c>
      <c r="AI22">
        <f t="shared" si="2"/>
        <v>1</v>
      </c>
      <c r="AJ22">
        <f t="shared" si="3"/>
        <v>1</v>
      </c>
      <c r="AL22">
        <f t="shared" si="6"/>
        <v>18</v>
      </c>
      <c r="AM22">
        <f>1</f>
        <v>1</v>
      </c>
      <c r="AN22">
        <f t="shared" si="0"/>
        <v>1</v>
      </c>
      <c r="AO22">
        <f t="shared" si="1"/>
        <v>1</v>
      </c>
    </row>
    <row r="23" spans="1:41" x14ac:dyDescent="0.25">
      <c r="C23" s="9"/>
      <c r="E23" s="10"/>
      <c r="N23" s="8" t="s">
        <v>10</v>
      </c>
      <c r="P23" s="25">
        <f>'Production By Date'!B59</f>
        <v>666.1</v>
      </c>
      <c r="Q23" s="26" t="s">
        <v>77</v>
      </c>
      <c r="W23" t="s">
        <v>30</v>
      </c>
      <c r="Y23">
        <v>34</v>
      </c>
      <c r="AA23" s="17">
        <v>51</v>
      </c>
      <c r="AC23" s="16">
        <f t="shared" si="4"/>
        <v>17</v>
      </c>
      <c r="AG23">
        <f t="shared" si="5"/>
        <v>19</v>
      </c>
      <c r="AH23">
        <f>1</f>
        <v>1</v>
      </c>
      <c r="AI23">
        <f t="shared" si="2"/>
        <v>1</v>
      </c>
      <c r="AJ23">
        <f t="shared" si="3"/>
        <v>1</v>
      </c>
      <c r="AL23">
        <f t="shared" si="6"/>
        <v>19</v>
      </c>
      <c r="AM23">
        <f>1</f>
        <v>1</v>
      </c>
      <c r="AN23">
        <f t="shared" si="0"/>
        <v>1</v>
      </c>
      <c r="AO23">
        <f t="shared" si="1"/>
        <v>1</v>
      </c>
    </row>
    <row r="24" spans="1:41" x14ac:dyDescent="0.25">
      <c r="C24" s="9"/>
      <c r="E24" s="10"/>
      <c r="M24" s="24"/>
      <c r="N24" s="21"/>
      <c r="O24" s="4"/>
      <c r="P24" s="24">
        <f>P23/1000</f>
        <v>0.66610000000000003</v>
      </c>
      <c r="Q24" s="22" t="s">
        <v>79</v>
      </c>
      <c r="W24" t="s">
        <v>31</v>
      </c>
      <c r="Y24" s="16">
        <v>0</v>
      </c>
      <c r="AA24" s="17">
        <v>45</v>
      </c>
      <c r="AC24" s="16">
        <f t="shared" si="4"/>
        <v>45</v>
      </c>
      <c r="AG24">
        <f t="shared" si="5"/>
        <v>20</v>
      </c>
      <c r="AH24">
        <f>1</f>
        <v>1</v>
      </c>
      <c r="AI24">
        <f t="shared" si="2"/>
        <v>1</v>
      </c>
      <c r="AJ24">
        <f t="shared" si="3"/>
        <v>1</v>
      </c>
      <c r="AL24">
        <f t="shared" si="6"/>
        <v>20</v>
      </c>
      <c r="AM24">
        <f>1</f>
        <v>1</v>
      </c>
      <c r="AN24">
        <f t="shared" si="0"/>
        <v>1</v>
      </c>
      <c r="AO24">
        <f t="shared" si="1"/>
        <v>1</v>
      </c>
    </row>
    <row r="25" spans="1:41" x14ac:dyDescent="0.25">
      <c r="C25" s="9"/>
      <c r="E25" s="10"/>
      <c r="M25" s="4"/>
      <c r="N25" s="8" t="s">
        <v>12</v>
      </c>
      <c r="P25" s="5">
        <f>'Consumption By Date'!B59</f>
        <v>2632.65</v>
      </c>
      <c r="Q25" s="26" t="s">
        <v>77</v>
      </c>
      <c r="W25" t="s">
        <v>32</v>
      </c>
      <c r="Y25" s="16">
        <v>0</v>
      </c>
      <c r="AA25" s="17">
        <v>55</v>
      </c>
      <c r="AC25" s="16">
        <f t="shared" si="4"/>
        <v>55</v>
      </c>
      <c r="AG25">
        <f t="shared" si="5"/>
        <v>21</v>
      </c>
      <c r="AH25">
        <f>1</f>
        <v>1</v>
      </c>
      <c r="AI25">
        <f t="shared" si="2"/>
        <v>1</v>
      </c>
      <c r="AJ25">
        <f t="shared" si="3"/>
        <v>1</v>
      </c>
      <c r="AL25">
        <f t="shared" si="6"/>
        <v>21</v>
      </c>
      <c r="AM25">
        <f>1</f>
        <v>1</v>
      </c>
      <c r="AN25">
        <f t="shared" si="0"/>
        <v>1</v>
      </c>
      <c r="AO25">
        <f t="shared" si="1"/>
        <v>1</v>
      </c>
    </row>
    <row r="26" spans="1:41" x14ac:dyDescent="0.25">
      <c r="C26" s="9"/>
      <c r="E26" s="10"/>
      <c r="M26" s="4"/>
      <c r="N26" s="8"/>
      <c r="P26" s="24">
        <f>P25/1000</f>
        <v>2.6326499999999999</v>
      </c>
      <c r="Q26" s="26" t="s">
        <v>79</v>
      </c>
      <c r="W26" t="s">
        <v>33</v>
      </c>
      <c r="Y26" s="16">
        <v>0</v>
      </c>
      <c r="AA26">
        <v>95</v>
      </c>
      <c r="AC26" s="16">
        <f t="shared" si="4"/>
        <v>95</v>
      </c>
      <c r="AG26">
        <f t="shared" si="5"/>
        <v>22</v>
      </c>
      <c r="AH26">
        <f>1</f>
        <v>1</v>
      </c>
      <c r="AI26">
        <f t="shared" si="2"/>
        <v>1</v>
      </c>
      <c r="AJ26">
        <f t="shared" si="3"/>
        <v>1</v>
      </c>
      <c r="AL26">
        <f t="shared" si="6"/>
        <v>22</v>
      </c>
      <c r="AM26">
        <f>1</f>
        <v>1</v>
      </c>
      <c r="AN26">
        <f t="shared" si="0"/>
        <v>1</v>
      </c>
      <c r="AO26">
        <f t="shared" si="1"/>
        <v>1</v>
      </c>
    </row>
    <row r="27" spans="1:41" x14ac:dyDescent="0.25">
      <c r="C27" s="9"/>
      <c r="E27" s="10"/>
      <c r="M27" s="4"/>
      <c r="N27" s="21" t="s">
        <v>68</v>
      </c>
      <c r="O27" s="4"/>
      <c r="P27" s="24">
        <f>IF(P23&gt;P25,0,P25-P23)</f>
        <v>1966.5500000000002</v>
      </c>
      <c r="Q27" s="26" t="s">
        <v>77</v>
      </c>
      <c r="W27" t="s">
        <v>34</v>
      </c>
      <c r="Y27" s="16">
        <v>0</v>
      </c>
      <c r="AA27" s="17">
        <v>0</v>
      </c>
      <c r="AC27" s="16">
        <f t="shared" si="4"/>
        <v>0</v>
      </c>
      <c r="AG27">
        <f t="shared" si="5"/>
        <v>23</v>
      </c>
      <c r="AH27">
        <f>1</f>
        <v>1</v>
      </c>
      <c r="AI27">
        <f t="shared" si="2"/>
        <v>1</v>
      </c>
      <c r="AJ27">
        <f t="shared" si="3"/>
        <v>1</v>
      </c>
      <c r="AL27">
        <f t="shared" si="6"/>
        <v>23</v>
      </c>
      <c r="AM27">
        <f>1</f>
        <v>1</v>
      </c>
      <c r="AN27">
        <f t="shared" si="0"/>
        <v>1</v>
      </c>
      <c r="AO27">
        <f t="shared" si="1"/>
        <v>1</v>
      </c>
    </row>
    <row r="28" spans="1:41" x14ac:dyDescent="0.25">
      <c r="C28" s="9"/>
      <c r="E28" s="10"/>
      <c r="M28" s="4"/>
      <c r="N28" s="8"/>
      <c r="P28" s="24">
        <f>P27/1000</f>
        <v>1.9665500000000002</v>
      </c>
      <c r="Q28" s="26" t="s">
        <v>79</v>
      </c>
      <c r="W28" t="s">
        <v>35</v>
      </c>
      <c r="Y28" s="42">
        <v>46.2</v>
      </c>
      <c r="AA28">
        <v>56</v>
      </c>
      <c r="AC28" s="16">
        <f t="shared" si="4"/>
        <v>9.7999999999999972</v>
      </c>
      <c r="AG28">
        <f t="shared" si="5"/>
        <v>24</v>
      </c>
      <c r="AH28">
        <f>1</f>
        <v>1</v>
      </c>
      <c r="AI28">
        <f t="shared" si="2"/>
        <v>1</v>
      </c>
      <c r="AJ28">
        <f t="shared" si="3"/>
        <v>1</v>
      </c>
      <c r="AL28">
        <f t="shared" si="6"/>
        <v>24</v>
      </c>
      <c r="AM28">
        <f>1</f>
        <v>1</v>
      </c>
      <c r="AN28">
        <f t="shared" si="0"/>
        <v>1</v>
      </c>
      <c r="AO28">
        <f t="shared" si="1"/>
        <v>1</v>
      </c>
    </row>
    <row r="29" spans="1:41" x14ac:dyDescent="0.25">
      <c r="C29" s="9"/>
      <c r="E29" s="10"/>
      <c r="M29" s="4"/>
      <c r="N29" s="8"/>
      <c r="Q29" s="26"/>
      <c r="W29" t="s">
        <v>36</v>
      </c>
      <c r="Y29" s="16">
        <v>0</v>
      </c>
      <c r="AA29" s="17">
        <v>50</v>
      </c>
      <c r="AC29" s="16">
        <f t="shared" si="4"/>
        <v>50</v>
      </c>
      <c r="AG29">
        <f t="shared" si="5"/>
        <v>25</v>
      </c>
      <c r="AH29">
        <f>1</f>
        <v>1</v>
      </c>
      <c r="AI29">
        <f t="shared" si="2"/>
        <v>1</v>
      </c>
      <c r="AJ29">
        <f t="shared" si="3"/>
        <v>1</v>
      </c>
      <c r="AL29">
        <f t="shared" si="6"/>
        <v>25</v>
      </c>
      <c r="AM29">
        <f>1</f>
        <v>1</v>
      </c>
      <c r="AN29">
        <f t="shared" si="0"/>
        <v>1</v>
      </c>
      <c r="AO29">
        <f t="shared" si="1"/>
        <v>1</v>
      </c>
    </row>
    <row r="30" spans="1:41" x14ac:dyDescent="0.25">
      <c r="C30" s="9"/>
      <c r="E30" s="10"/>
      <c r="M30" s="4"/>
      <c r="N30" s="21" t="s">
        <v>15</v>
      </c>
      <c r="O30" s="24"/>
      <c r="P30" s="24"/>
      <c r="Q30" s="27">
        <f>Q34</f>
        <v>0.2530150228856855</v>
      </c>
      <c r="W30" t="s">
        <v>37</v>
      </c>
      <c r="Y30" s="40">
        <v>60.8</v>
      </c>
      <c r="AA30" s="39">
        <v>63.05</v>
      </c>
      <c r="AC30" s="16">
        <f t="shared" si="4"/>
        <v>2.25</v>
      </c>
      <c r="AG30">
        <f t="shared" si="5"/>
        <v>26</v>
      </c>
      <c r="AH30">
        <f>1</f>
        <v>1</v>
      </c>
      <c r="AI30">
        <f t="shared" si="2"/>
        <v>0</v>
      </c>
      <c r="AJ30">
        <f t="shared" si="3"/>
        <v>1</v>
      </c>
      <c r="AL30">
        <f t="shared" si="6"/>
        <v>26</v>
      </c>
      <c r="AM30">
        <f>1</f>
        <v>1</v>
      </c>
      <c r="AN30">
        <f t="shared" si="0"/>
        <v>0</v>
      </c>
      <c r="AO30">
        <f t="shared" si="1"/>
        <v>1</v>
      </c>
    </row>
    <row r="31" spans="1:41" x14ac:dyDescent="0.25">
      <c r="A31" s="8"/>
      <c r="C31" s="9"/>
      <c r="E31" s="10"/>
      <c r="M31" s="4"/>
      <c r="N31" s="21"/>
      <c r="O31" s="4"/>
      <c r="P31" s="4"/>
      <c r="Q31" s="22"/>
      <c r="W31" t="s">
        <v>38</v>
      </c>
      <c r="Y31" s="16">
        <v>0</v>
      </c>
      <c r="AA31" s="39">
        <v>107.96</v>
      </c>
      <c r="AC31" s="16">
        <f t="shared" si="4"/>
        <v>107.96</v>
      </c>
      <c r="AG31">
        <f t="shared" si="5"/>
        <v>27</v>
      </c>
      <c r="AH31">
        <f>1</f>
        <v>1</v>
      </c>
      <c r="AI31">
        <f t="shared" si="2"/>
        <v>0</v>
      </c>
      <c r="AJ31">
        <f t="shared" si="3"/>
        <v>1</v>
      </c>
      <c r="AL31">
        <f t="shared" si="6"/>
        <v>27</v>
      </c>
      <c r="AM31">
        <f>1</f>
        <v>1</v>
      </c>
      <c r="AN31">
        <f t="shared" si="0"/>
        <v>0</v>
      </c>
      <c r="AO31">
        <f t="shared" si="1"/>
        <v>1</v>
      </c>
    </row>
    <row r="32" spans="1:41" x14ac:dyDescent="0.25">
      <c r="A32" s="8"/>
      <c r="C32" s="9"/>
      <c r="E32" s="10"/>
      <c r="N32" s="21" t="s">
        <v>18</v>
      </c>
      <c r="O32" s="28"/>
      <c r="P32" s="4"/>
      <c r="Q32" s="27">
        <f>Q36</f>
        <v>0.74698497711431455</v>
      </c>
      <c r="W32" t="s">
        <v>39</v>
      </c>
      <c r="Y32" s="16">
        <v>0</v>
      </c>
      <c r="AA32" s="17">
        <v>0</v>
      </c>
      <c r="AC32" s="16">
        <f t="shared" si="4"/>
        <v>0</v>
      </c>
      <c r="AG32">
        <f t="shared" si="5"/>
        <v>28</v>
      </c>
      <c r="AH32">
        <f>1</f>
        <v>1</v>
      </c>
      <c r="AI32">
        <f t="shared" si="2"/>
        <v>0</v>
      </c>
      <c r="AJ32">
        <f t="shared" si="3"/>
        <v>1</v>
      </c>
      <c r="AL32">
        <f t="shared" si="6"/>
        <v>28</v>
      </c>
      <c r="AM32">
        <f>1</f>
        <v>1</v>
      </c>
      <c r="AN32">
        <f t="shared" si="0"/>
        <v>0</v>
      </c>
      <c r="AO32">
        <f t="shared" si="1"/>
        <v>1</v>
      </c>
    </row>
    <row r="33" spans="1:41" x14ac:dyDescent="0.25">
      <c r="A33" s="8"/>
      <c r="C33" s="9"/>
      <c r="E33" s="10"/>
      <c r="N33" s="21"/>
      <c r="O33" s="28"/>
      <c r="P33" s="4"/>
      <c r="Q33" s="22"/>
      <c r="R33" s="3"/>
      <c r="W33" t="s">
        <v>40</v>
      </c>
      <c r="Y33" s="35">
        <v>10</v>
      </c>
      <c r="AA33" s="39">
        <v>48.91</v>
      </c>
      <c r="AC33" s="16">
        <f t="shared" si="4"/>
        <v>38.909999999999997</v>
      </c>
      <c r="AG33">
        <f t="shared" si="5"/>
        <v>29</v>
      </c>
      <c r="AH33">
        <f>1</f>
        <v>1</v>
      </c>
      <c r="AI33">
        <f t="shared" si="2"/>
        <v>0</v>
      </c>
      <c r="AJ33">
        <f t="shared" si="3"/>
        <v>1</v>
      </c>
      <c r="AL33">
        <f t="shared" si="6"/>
        <v>29</v>
      </c>
      <c r="AM33">
        <f>1</f>
        <v>1</v>
      </c>
      <c r="AN33">
        <f t="shared" si="0"/>
        <v>0</v>
      </c>
      <c r="AO33">
        <f t="shared" si="1"/>
        <v>1</v>
      </c>
    </row>
    <row r="34" spans="1:41" ht="17.25" x14ac:dyDescent="0.3">
      <c r="A34" s="8"/>
      <c r="C34" s="9"/>
      <c r="E34" s="10"/>
      <c r="N34" s="21" t="s">
        <v>69</v>
      </c>
      <c r="O34" s="28"/>
      <c r="P34" s="4"/>
      <c r="Q34" s="29">
        <f>P23/P25</f>
        <v>0.2530150228856855</v>
      </c>
      <c r="R34" s="3"/>
      <c r="W34" t="s">
        <v>41</v>
      </c>
      <c r="Y34" s="38">
        <v>48</v>
      </c>
      <c r="AA34" s="17">
        <v>29</v>
      </c>
      <c r="AC34" s="16">
        <f t="shared" si="4"/>
        <v>0</v>
      </c>
      <c r="AG34">
        <f t="shared" si="5"/>
        <v>30</v>
      </c>
      <c r="AH34">
        <f>1</f>
        <v>1</v>
      </c>
      <c r="AI34">
        <f t="shared" si="2"/>
        <v>0</v>
      </c>
      <c r="AJ34">
        <f t="shared" si="3"/>
        <v>1</v>
      </c>
      <c r="AL34">
        <f t="shared" si="6"/>
        <v>30</v>
      </c>
      <c r="AM34">
        <f>1</f>
        <v>1</v>
      </c>
      <c r="AN34">
        <f t="shared" si="0"/>
        <v>0</v>
      </c>
      <c r="AO34">
        <f t="shared" si="1"/>
        <v>1</v>
      </c>
    </row>
    <row r="35" spans="1:41" x14ac:dyDescent="0.25">
      <c r="A35" s="8"/>
      <c r="C35" s="9"/>
      <c r="E35" s="10"/>
      <c r="N35" s="8"/>
      <c r="O35" s="28"/>
      <c r="P35" s="4"/>
      <c r="Q35" s="30"/>
      <c r="R35" s="3"/>
      <c r="W35" t="s">
        <v>42</v>
      </c>
      <c r="Y35" s="16">
        <v>42</v>
      </c>
      <c r="AA35" s="17">
        <v>92</v>
      </c>
      <c r="AC35" s="16">
        <f t="shared" si="4"/>
        <v>50</v>
      </c>
      <c r="AG35">
        <f t="shared" si="5"/>
        <v>31</v>
      </c>
      <c r="AH35">
        <f>1</f>
        <v>1</v>
      </c>
      <c r="AI35">
        <f t="shared" si="2"/>
        <v>0</v>
      </c>
      <c r="AJ35">
        <f t="shared" si="3"/>
        <v>1</v>
      </c>
      <c r="AL35">
        <f t="shared" si="6"/>
        <v>31</v>
      </c>
      <c r="AM35">
        <f>1</f>
        <v>1</v>
      </c>
      <c r="AN35">
        <f t="shared" si="0"/>
        <v>0</v>
      </c>
      <c r="AO35">
        <f t="shared" si="1"/>
        <v>1</v>
      </c>
    </row>
    <row r="36" spans="1:41" x14ac:dyDescent="0.25">
      <c r="A36" s="8"/>
      <c r="C36" s="9"/>
      <c r="E36" s="10"/>
      <c r="N36" s="21" t="s">
        <v>70</v>
      </c>
      <c r="O36" s="28"/>
      <c r="P36" s="4"/>
      <c r="Q36" s="29">
        <f>P27/P25</f>
        <v>0.74698497711431455</v>
      </c>
      <c r="R36" s="3"/>
      <c r="W36" t="s">
        <v>43</v>
      </c>
      <c r="Y36" s="16">
        <v>0</v>
      </c>
      <c r="AA36" s="17">
        <v>0</v>
      </c>
      <c r="AC36" s="16">
        <f t="shared" si="4"/>
        <v>0</v>
      </c>
      <c r="AG36">
        <f t="shared" si="5"/>
        <v>32</v>
      </c>
      <c r="AH36">
        <f>1</f>
        <v>1</v>
      </c>
      <c r="AI36">
        <f t="shared" si="2"/>
        <v>0</v>
      </c>
      <c r="AJ36">
        <f t="shared" si="3"/>
        <v>1</v>
      </c>
      <c r="AL36">
        <f t="shared" si="6"/>
        <v>32</v>
      </c>
      <c r="AM36">
        <f>1</f>
        <v>1</v>
      </c>
      <c r="AN36">
        <f t="shared" si="0"/>
        <v>0</v>
      </c>
      <c r="AO36">
        <f t="shared" si="1"/>
        <v>1</v>
      </c>
    </row>
    <row r="37" spans="1:41" x14ac:dyDescent="0.25">
      <c r="A37" s="8"/>
      <c r="C37" s="9"/>
      <c r="E37" s="10"/>
      <c r="N37" s="8"/>
      <c r="O37" s="3"/>
      <c r="Q37" s="31"/>
      <c r="R37" s="3"/>
      <c r="W37" t="s">
        <v>44</v>
      </c>
      <c r="Y37" s="16">
        <v>30</v>
      </c>
      <c r="AA37" s="17">
        <v>0</v>
      </c>
      <c r="AC37" s="16">
        <f t="shared" si="4"/>
        <v>0</v>
      </c>
      <c r="AG37">
        <f t="shared" si="5"/>
        <v>33</v>
      </c>
      <c r="AH37">
        <f>1</f>
        <v>1</v>
      </c>
      <c r="AI37">
        <f t="shared" si="2"/>
        <v>0</v>
      </c>
      <c r="AJ37">
        <f t="shared" si="3"/>
        <v>1</v>
      </c>
      <c r="AL37">
        <f t="shared" si="6"/>
        <v>33</v>
      </c>
      <c r="AM37">
        <f>1</f>
        <v>1</v>
      </c>
      <c r="AN37">
        <f t="shared" ref="AN37:AN68" si="7">IF(AL37&lt;=($Q$11*100),1,0)</f>
        <v>0</v>
      </c>
      <c r="AO37">
        <f t="shared" ref="AO37:AO68" si="8">IF(AL37&lt;=($Q$13*100),1,0)</f>
        <v>1</v>
      </c>
    </row>
    <row r="38" spans="1:41" x14ac:dyDescent="0.25">
      <c r="A38" s="8"/>
      <c r="C38" s="9"/>
      <c r="E38" s="10"/>
      <c r="N38" s="11"/>
      <c r="O38" s="12"/>
      <c r="P38" s="32"/>
      <c r="Q38" s="33"/>
      <c r="R38" s="3"/>
      <c r="W38" t="s">
        <v>45</v>
      </c>
      <c r="Y38" s="16">
        <v>0</v>
      </c>
      <c r="AA38" s="39">
        <v>89.19</v>
      </c>
      <c r="AB38" s="18"/>
      <c r="AC38" s="16">
        <f t="shared" si="4"/>
        <v>89.19</v>
      </c>
      <c r="AG38">
        <f t="shared" si="5"/>
        <v>34</v>
      </c>
      <c r="AH38">
        <f>1</f>
        <v>1</v>
      </c>
      <c r="AI38">
        <f t="shared" si="2"/>
        <v>0</v>
      </c>
      <c r="AJ38">
        <f t="shared" si="3"/>
        <v>1</v>
      </c>
      <c r="AL38">
        <f t="shared" si="6"/>
        <v>34</v>
      </c>
      <c r="AM38">
        <f>1</f>
        <v>1</v>
      </c>
      <c r="AN38">
        <f t="shared" si="7"/>
        <v>0</v>
      </c>
      <c r="AO38">
        <f t="shared" si="8"/>
        <v>1</v>
      </c>
    </row>
    <row r="39" spans="1:41" x14ac:dyDescent="0.25">
      <c r="A39" s="8"/>
      <c r="C39" s="9"/>
      <c r="E39" s="10"/>
      <c r="P39" s="3"/>
      <c r="R39" s="3"/>
      <c r="W39" t="s">
        <v>46</v>
      </c>
      <c r="Y39" s="16">
        <v>0</v>
      </c>
      <c r="AA39" s="39">
        <v>35.54</v>
      </c>
      <c r="AB39" s="36"/>
      <c r="AC39" s="16">
        <f t="shared" si="4"/>
        <v>35.54</v>
      </c>
      <c r="AG39">
        <f t="shared" si="5"/>
        <v>35</v>
      </c>
      <c r="AH39">
        <f>1</f>
        <v>1</v>
      </c>
      <c r="AI39">
        <f t="shared" si="2"/>
        <v>0</v>
      </c>
      <c r="AJ39">
        <f t="shared" si="3"/>
        <v>1</v>
      </c>
      <c r="AL39">
        <f t="shared" si="6"/>
        <v>35</v>
      </c>
      <c r="AM39">
        <f>1</f>
        <v>1</v>
      </c>
      <c r="AN39">
        <f t="shared" si="7"/>
        <v>0</v>
      </c>
      <c r="AO39">
        <f t="shared" si="8"/>
        <v>1</v>
      </c>
    </row>
    <row r="40" spans="1:41" x14ac:dyDescent="0.25">
      <c r="A40" s="8"/>
      <c r="C40" s="9"/>
      <c r="E40" s="10"/>
      <c r="P40" s="3"/>
      <c r="W40" t="s">
        <v>47</v>
      </c>
      <c r="Y40" s="16">
        <v>0</v>
      </c>
      <c r="AA40" s="17">
        <v>0</v>
      </c>
      <c r="AC40" s="16">
        <f t="shared" si="4"/>
        <v>0</v>
      </c>
      <c r="AG40">
        <f t="shared" si="5"/>
        <v>36</v>
      </c>
      <c r="AH40">
        <f>1</f>
        <v>1</v>
      </c>
      <c r="AI40">
        <f t="shared" si="2"/>
        <v>0</v>
      </c>
      <c r="AJ40">
        <f t="shared" si="3"/>
        <v>1</v>
      </c>
      <c r="AL40">
        <f t="shared" si="6"/>
        <v>36</v>
      </c>
      <c r="AM40">
        <f>1</f>
        <v>1</v>
      </c>
      <c r="AN40">
        <f t="shared" si="7"/>
        <v>0</v>
      </c>
      <c r="AO40">
        <f t="shared" si="8"/>
        <v>1</v>
      </c>
    </row>
    <row r="41" spans="1:41" x14ac:dyDescent="0.25">
      <c r="A41" s="8"/>
      <c r="C41" s="9"/>
      <c r="E41" s="10"/>
      <c r="W41" t="s">
        <v>48</v>
      </c>
      <c r="Y41" s="16">
        <v>2</v>
      </c>
      <c r="AA41" s="17">
        <v>0</v>
      </c>
      <c r="AC41" s="16">
        <f t="shared" si="4"/>
        <v>0</v>
      </c>
      <c r="AG41">
        <f t="shared" si="5"/>
        <v>37</v>
      </c>
      <c r="AH41">
        <f>1</f>
        <v>1</v>
      </c>
      <c r="AI41">
        <f t="shared" si="2"/>
        <v>0</v>
      </c>
      <c r="AJ41">
        <f t="shared" si="3"/>
        <v>1</v>
      </c>
      <c r="AL41">
        <f t="shared" si="6"/>
        <v>37</v>
      </c>
      <c r="AM41">
        <f>1</f>
        <v>1</v>
      </c>
      <c r="AN41">
        <f t="shared" si="7"/>
        <v>0</v>
      </c>
      <c r="AO41">
        <f t="shared" si="8"/>
        <v>1</v>
      </c>
    </row>
    <row r="42" spans="1:41" x14ac:dyDescent="0.25">
      <c r="A42" s="8"/>
      <c r="C42" s="9"/>
      <c r="E42" s="10"/>
      <c r="W42" t="s">
        <v>49</v>
      </c>
      <c r="Y42">
        <v>32</v>
      </c>
      <c r="AA42">
        <v>60</v>
      </c>
      <c r="AC42" s="16">
        <f t="shared" si="4"/>
        <v>28</v>
      </c>
      <c r="AG42">
        <f t="shared" si="5"/>
        <v>38</v>
      </c>
      <c r="AH42">
        <f>1</f>
        <v>1</v>
      </c>
      <c r="AI42">
        <f t="shared" si="2"/>
        <v>0</v>
      </c>
      <c r="AJ42">
        <f t="shared" si="3"/>
        <v>1</v>
      </c>
      <c r="AL42">
        <f t="shared" si="6"/>
        <v>38</v>
      </c>
      <c r="AM42">
        <f>1</f>
        <v>1</v>
      </c>
      <c r="AN42">
        <f t="shared" si="7"/>
        <v>0</v>
      </c>
      <c r="AO42">
        <f t="shared" si="8"/>
        <v>1</v>
      </c>
    </row>
    <row r="43" spans="1:41" x14ac:dyDescent="0.25">
      <c r="A43" s="8"/>
      <c r="C43" s="9"/>
      <c r="E43" s="10"/>
      <c r="W43" t="s">
        <v>50</v>
      </c>
      <c r="Y43" s="16">
        <v>0</v>
      </c>
      <c r="AA43" s="17">
        <v>0</v>
      </c>
      <c r="AC43" s="16">
        <f t="shared" si="4"/>
        <v>0</v>
      </c>
      <c r="AG43">
        <f t="shared" si="5"/>
        <v>39</v>
      </c>
      <c r="AH43">
        <f>1</f>
        <v>1</v>
      </c>
      <c r="AI43">
        <f t="shared" si="2"/>
        <v>0</v>
      </c>
      <c r="AJ43">
        <f t="shared" si="3"/>
        <v>1</v>
      </c>
      <c r="AL43">
        <f t="shared" si="6"/>
        <v>39</v>
      </c>
      <c r="AM43">
        <f>1</f>
        <v>1</v>
      </c>
      <c r="AN43">
        <f t="shared" si="7"/>
        <v>0</v>
      </c>
      <c r="AO43">
        <f t="shared" si="8"/>
        <v>1</v>
      </c>
    </row>
    <row r="44" spans="1:41" x14ac:dyDescent="0.25">
      <c r="A44" s="8"/>
      <c r="C44" s="9"/>
      <c r="E44" s="10"/>
      <c r="W44" t="s">
        <v>51</v>
      </c>
      <c r="Y44" s="16">
        <v>0</v>
      </c>
      <c r="AA44" s="17">
        <v>0</v>
      </c>
      <c r="AC44" s="16">
        <f t="shared" si="4"/>
        <v>0</v>
      </c>
      <c r="AG44">
        <f t="shared" si="5"/>
        <v>40</v>
      </c>
      <c r="AH44">
        <f>1</f>
        <v>1</v>
      </c>
      <c r="AI44">
        <f t="shared" si="2"/>
        <v>0</v>
      </c>
      <c r="AJ44">
        <f t="shared" si="3"/>
        <v>1</v>
      </c>
      <c r="AL44">
        <f t="shared" si="6"/>
        <v>40</v>
      </c>
      <c r="AM44">
        <f>1</f>
        <v>1</v>
      </c>
      <c r="AN44">
        <f t="shared" si="7"/>
        <v>0</v>
      </c>
      <c r="AO44">
        <f t="shared" si="8"/>
        <v>1</v>
      </c>
    </row>
    <row r="45" spans="1:41" x14ac:dyDescent="0.25">
      <c r="A45" s="8"/>
      <c r="C45" s="9"/>
      <c r="E45" s="10"/>
      <c r="W45" t="s">
        <v>52</v>
      </c>
      <c r="Y45" s="16">
        <v>0</v>
      </c>
      <c r="AA45" s="17">
        <v>40</v>
      </c>
      <c r="AC45" s="16">
        <f t="shared" si="4"/>
        <v>40</v>
      </c>
      <c r="AG45">
        <f t="shared" si="5"/>
        <v>41</v>
      </c>
      <c r="AH45">
        <f>1</f>
        <v>1</v>
      </c>
      <c r="AI45">
        <f t="shared" si="2"/>
        <v>0</v>
      </c>
      <c r="AJ45">
        <f t="shared" si="3"/>
        <v>1</v>
      </c>
      <c r="AL45">
        <f t="shared" si="6"/>
        <v>41</v>
      </c>
      <c r="AM45">
        <f>1</f>
        <v>1</v>
      </c>
      <c r="AN45">
        <f t="shared" si="7"/>
        <v>0</v>
      </c>
      <c r="AO45">
        <f t="shared" si="8"/>
        <v>1</v>
      </c>
    </row>
    <row r="46" spans="1:41" x14ac:dyDescent="0.25">
      <c r="A46" s="8"/>
      <c r="C46" s="9"/>
      <c r="E46" s="10"/>
      <c r="W46" t="s">
        <v>53</v>
      </c>
      <c r="Y46" s="16">
        <v>0</v>
      </c>
      <c r="AA46" s="17">
        <v>0</v>
      </c>
      <c r="AC46" s="16">
        <f t="shared" si="4"/>
        <v>0</v>
      </c>
      <c r="AG46">
        <f t="shared" si="5"/>
        <v>42</v>
      </c>
      <c r="AH46">
        <f>1</f>
        <v>1</v>
      </c>
      <c r="AI46">
        <f t="shared" si="2"/>
        <v>0</v>
      </c>
      <c r="AJ46">
        <f t="shared" si="3"/>
        <v>1</v>
      </c>
      <c r="AL46">
        <f t="shared" si="6"/>
        <v>42</v>
      </c>
      <c r="AM46">
        <f>1</f>
        <v>1</v>
      </c>
      <c r="AN46">
        <f t="shared" si="7"/>
        <v>0</v>
      </c>
      <c r="AO46">
        <f t="shared" si="8"/>
        <v>1</v>
      </c>
    </row>
    <row r="47" spans="1:41" x14ac:dyDescent="0.25">
      <c r="A47" s="11"/>
      <c r="B47" s="12"/>
      <c r="C47" s="13"/>
      <c r="D47" s="12"/>
      <c r="E47" s="14"/>
      <c r="F47" s="12"/>
      <c r="G47" s="12"/>
      <c r="W47" t="s">
        <v>54</v>
      </c>
      <c r="AA47" s="17">
        <v>70</v>
      </c>
      <c r="AC47" s="16">
        <f t="shared" si="4"/>
        <v>70</v>
      </c>
      <c r="AG47">
        <f t="shared" si="5"/>
        <v>43</v>
      </c>
      <c r="AH47">
        <f>1</f>
        <v>1</v>
      </c>
      <c r="AI47">
        <f t="shared" si="2"/>
        <v>0</v>
      </c>
      <c r="AJ47">
        <f t="shared" si="3"/>
        <v>1</v>
      </c>
      <c r="AL47">
        <f t="shared" si="6"/>
        <v>43</v>
      </c>
      <c r="AM47">
        <f>1</f>
        <v>1</v>
      </c>
      <c r="AN47">
        <f t="shared" si="7"/>
        <v>0</v>
      </c>
      <c r="AO47">
        <f t="shared" si="8"/>
        <v>1</v>
      </c>
    </row>
    <row r="48" spans="1:41" x14ac:dyDescent="0.25">
      <c r="W48" t="s">
        <v>55</v>
      </c>
      <c r="Y48" s="16">
        <v>0</v>
      </c>
      <c r="AA48" s="17">
        <v>0</v>
      </c>
      <c r="AC48" s="16">
        <f t="shared" si="4"/>
        <v>0</v>
      </c>
      <c r="AG48">
        <f t="shared" si="5"/>
        <v>44</v>
      </c>
      <c r="AH48">
        <f>1</f>
        <v>1</v>
      </c>
      <c r="AI48">
        <f t="shared" si="2"/>
        <v>0</v>
      </c>
      <c r="AJ48">
        <f t="shared" si="3"/>
        <v>1</v>
      </c>
      <c r="AL48">
        <f t="shared" si="6"/>
        <v>44</v>
      </c>
      <c r="AM48">
        <f>1</f>
        <v>1</v>
      </c>
      <c r="AN48">
        <f t="shared" si="7"/>
        <v>0</v>
      </c>
      <c r="AO48">
        <f t="shared" si="8"/>
        <v>1</v>
      </c>
    </row>
    <row r="49" spans="23:41" x14ac:dyDescent="0.25">
      <c r="W49" t="s">
        <v>56</v>
      </c>
      <c r="Y49" s="16">
        <v>0</v>
      </c>
      <c r="AA49" s="17">
        <v>0</v>
      </c>
      <c r="AC49" s="16">
        <f t="shared" si="4"/>
        <v>0</v>
      </c>
      <c r="AG49">
        <f t="shared" si="5"/>
        <v>45</v>
      </c>
      <c r="AH49">
        <f>1</f>
        <v>1</v>
      </c>
      <c r="AI49">
        <f t="shared" si="2"/>
        <v>0</v>
      </c>
      <c r="AJ49">
        <f t="shared" si="3"/>
        <v>1</v>
      </c>
      <c r="AL49">
        <f t="shared" si="6"/>
        <v>45</v>
      </c>
      <c r="AM49">
        <f>1</f>
        <v>1</v>
      </c>
      <c r="AN49">
        <f t="shared" si="7"/>
        <v>0</v>
      </c>
      <c r="AO49">
        <f t="shared" si="8"/>
        <v>1</v>
      </c>
    </row>
    <row r="50" spans="23:41" x14ac:dyDescent="0.25">
      <c r="W50" t="s">
        <v>57</v>
      </c>
      <c r="Y50" s="16">
        <v>0</v>
      </c>
      <c r="AA50" s="17">
        <v>80</v>
      </c>
      <c r="AC50" s="16">
        <f t="shared" si="4"/>
        <v>80</v>
      </c>
      <c r="AG50">
        <f t="shared" si="5"/>
        <v>46</v>
      </c>
      <c r="AH50">
        <f>1</f>
        <v>1</v>
      </c>
      <c r="AI50">
        <f t="shared" si="2"/>
        <v>0</v>
      </c>
      <c r="AJ50">
        <f t="shared" si="3"/>
        <v>1</v>
      </c>
      <c r="AL50">
        <f t="shared" si="6"/>
        <v>46</v>
      </c>
      <c r="AM50">
        <f>1</f>
        <v>1</v>
      </c>
      <c r="AN50">
        <f t="shared" si="7"/>
        <v>0</v>
      </c>
      <c r="AO50">
        <f t="shared" si="8"/>
        <v>1</v>
      </c>
    </row>
    <row r="51" spans="23:41" x14ac:dyDescent="0.25">
      <c r="W51" t="s">
        <v>58</v>
      </c>
      <c r="Y51" s="16">
        <v>0</v>
      </c>
      <c r="AA51" s="17">
        <v>0</v>
      </c>
      <c r="AC51" s="16">
        <f t="shared" si="4"/>
        <v>0</v>
      </c>
      <c r="AG51">
        <f t="shared" si="5"/>
        <v>47</v>
      </c>
      <c r="AH51">
        <f>1</f>
        <v>1</v>
      </c>
      <c r="AI51">
        <f t="shared" si="2"/>
        <v>0</v>
      </c>
      <c r="AJ51">
        <f t="shared" si="3"/>
        <v>1</v>
      </c>
      <c r="AL51">
        <f t="shared" si="6"/>
        <v>47</v>
      </c>
      <c r="AM51">
        <f>1</f>
        <v>1</v>
      </c>
      <c r="AN51">
        <f t="shared" si="7"/>
        <v>0</v>
      </c>
      <c r="AO51">
        <f t="shared" si="8"/>
        <v>1</v>
      </c>
    </row>
    <row r="52" spans="23:41" x14ac:dyDescent="0.25">
      <c r="W52" t="s">
        <v>59</v>
      </c>
      <c r="Y52" s="16">
        <v>0</v>
      </c>
      <c r="AA52" s="17">
        <v>170</v>
      </c>
      <c r="AC52" s="16">
        <f t="shared" si="4"/>
        <v>170</v>
      </c>
      <c r="AG52">
        <f t="shared" si="5"/>
        <v>48</v>
      </c>
      <c r="AH52">
        <f>1</f>
        <v>1</v>
      </c>
      <c r="AI52">
        <f t="shared" si="2"/>
        <v>0</v>
      </c>
      <c r="AJ52">
        <f t="shared" si="3"/>
        <v>1</v>
      </c>
      <c r="AL52">
        <f t="shared" si="6"/>
        <v>48</v>
      </c>
      <c r="AM52">
        <f>1</f>
        <v>1</v>
      </c>
      <c r="AN52">
        <f t="shared" si="7"/>
        <v>0</v>
      </c>
      <c r="AO52">
        <f t="shared" si="8"/>
        <v>1</v>
      </c>
    </row>
    <row r="53" spans="23:41" x14ac:dyDescent="0.25">
      <c r="W53" t="s">
        <v>60</v>
      </c>
      <c r="Y53" s="16">
        <v>0</v>
      </c>
      <c r="AA53" s="17">
        <v>30</v>
      </c>
      <c r="AC53" s="16">
        <f t="shared" si="4"/>
        <v>30</v>
      </c>
      <c r="AG53">
        <f t="shared" si="5"/>
        <v>49</v>
      </c>
      <c r="AH53">
        <f>1</f>
        <v>1</v>
      </c>
      <c r="AI53">
        <f t="shared" si="2"/>
        <v>0</v>
      </c>
      <c r="AJ53">
        <f t="shared" si="3"/>
        <v>1</v>
      </c>
      <c r="AL53">
        <f t="shared" si="6"/>
        <v>49</v>
      </c>
      <c r="AM53">
        <f>1</f>
        <v>1</v>
      </c>
      <c r="AN53">
        <f t="shared" si="7"/>
        <v>0</v>
      </c>
      <c r="AO53">
        <f t="shared" si="8"/>
        <v>1</v>
      </c>
    </row>
    <row r="54" spans="23:41" x14ac:dyDescent="0.25">
      <c r="W54" t="s">
        <v>61</v>
      </c>
      <c r="Y54">
        <v>41</v>
      </c>
      <c r="AA54">
        <v>225</v>
      </c>
      <c r="AC54" s="16">
        <f t="shared" si="4"/>
        <v>184</v>
      </c>
      <c r="AG54">
        <f t="shared" si="5"/>
        <v>50</v>
      </c>
      <c r="AH54">
        <f>1</f>
        <v>1</v>
      </c>
      <c r="AI54">
        <f t="shared" si="2"/>
        <v>0</v>
      </c>
      <c r="AJ54">
        <f t="shared" si="3"/>
        <v>1</v>
      </c>
      <c r="AL54">
        <f t="shared" si="6"/>
        <v>50</v>
      </c>
      <c r="AM54">
        <f>1</f>
        <v>1</v>
      </c>
      <c r="AN54">
        <f t="shared" si="7"/>
        <v>0</v>
      </c>
      <c r="AO54">
        <f t="shared" si="8"/>
        <v>1</v>
      </c>
    </row>
    <row r="55" spans="23:41" x14ac:dyDescent="0.25">
      <c r="W55" t="s">
        <v>62</v>
      </c>
      <c r="Y55" s="16">
        <v>0</v>
      </c>
      <c r="AA55" s="17">
        <v>53</v>
      </c>
      <c r="AC55" s="16">
        <f t="shared" si="4"/>
        <v>53</v>
      </c>
      <c r="AG55">
        <f t="shared" si="5"/>
        <v>51</v>
      </c>
      <c r="AH55">
        <f>1</f>
        <v>1</v>
      </c>
      <c r="AI55">
        <f t="shared" si="2"/>
        <v>0</v>
      </c>
      <c r="AJ55">
        <f t="shared" si="3"/>
        <v>1</v>
      </c>
      <c r="AL55">
        <f t="shared" si="6"/>
        <v>51</v>
      </c>
      <c r="AM55">
        <f>1</f>
        <v>1</v>
      </c>
      <c r="AN55">
        <f t="shared" si="7"/>
        <v>0</v>
      </c>
      <c r="AO55">
        <f t="shared" si="8"/>
        <v>1</v>
      </c>
    </row>
    <row r="56" spans="23:41" x14ac:dyDescent="0.25">
      <c r="W56" t="s">
        <v>63</v>
      </c>
      <c r="Y56" s="16">
        <v>0</v>
      </c>
      <c r="AA56" s="17">
        <v>0</v>
      </c>
      <c r="AC56" s="16">
        <f t="shared" si="4"/>
        <v>0</v>
      </c>
      <c r="AG56">
        <f t="shared" si="5"/>
        <v>52</v>
      </c>
      <c r="AH56">
        <f>1</f>
        <v>1</v>
      </c>
      <c r="AI56">
        <f t="shared" si="2"/>
        <v>0</v>
      </c>
      <c r="AJ56">
        <f t="shared" si="3"/>
        <v>1</v>
      </c>
      <c r="AL56">
        <f t="shared" si="6"/>
        <v>52</v>
      </c>
      <c r="AM56">
        <f>1</f>
        <v>1</v>
      </c>
      <c r="AN56">
        <f t="shared" si="7"/>
        <v>0</v>
      </c>
      <c r="AO56">
        <f t="shared" si="8"/>
        <v>1</v>
      </c>
    </row>
    <row r="57" spans="23:41" x14ac:dyDescent="0.25">
      <c r="W57" t="s">
        <v>64</v>
      </c>
      <c r="Y57" s="16">
        <v>0</v>
      </c>
      <c r="AA57" s="17">
        <v>0</v>
      </c>
      <c r="AC57" s="16">
        <f t="shared" si="4"/>
        <v>0</v>
      </c>
      <c r="AG57">
        <f t="shared" si="5"/>
        <v>53</v>
      </c>
      <c r="AH57">
        <f>1</f>
        <v>1</v>
      </c>
      <c r="AI57">
        <f t="shared" si="2"/>
        <v>0</v>
      </c>
      <c r="AJ57">
        <f t="shared" si="3"/>
        <v>1</v>
      </c>
      <c r="AL57">
        <f t="shared" si="6"/>
        <v>53</v>
      </c>
      <c r="AM57">
        <f>1</f>
        <v>1</v>
      </c>
      <c r="AN57">
        <f t="shared" si="7"/>
        <v>0</v>
      </c>
      <c r="AO57">
        <f t="shared" si="8"/>
        <v>1</v>
      </c>
    </row>
    <row r="58" spans="23:41" x14ac:dyDescent="0.25">
      <c r="W58" t="s">
        <v>65</v>
      </c>
      <c r="Y58" s="16">
        <v>0</v>
      </c>
      <c r="AA58" s="17">
        <v>0</v>
      </c>
      <c r="AC58" s="16">
        <f t="shared" si="4"/>
        <v>0</v>
      </c>
      <c r="AG58">
        <f t="shared" si="5"/>
        <v>54</v>
      </c>
      <c r="AH58">
        <f>1</f>
        <v>1</v>
      </c>
      <c r="AI58">
        <f t="shared" si="2"/>
        <v>0</v>
      </c>
      <c r="AJ58">
        <f t="shared" si="3"/>
        <v>1</v>
      </c>
      <c r="AL58">
        <f t="shared" si="6"/>
        <v>54</v>
      </c>
      <c r="AM58">
        <f>1</f>
        <v>1</v>
      </c>
      <c r="AN58">
        <f t="shared" si="7"/>
        <v>0</v>
      </c>
      <c r="AO58">
        <f t="shared" si="8"/>
        <v>1</v>
      </c>
    </row>
    <row r="59" spans="23:41" x14ac:dyDescent="0.25">
      <c r="W59" t="s">
        <v>71</v>
      </c>
      <c r="Y59">
        <v>59</v>
      </c>
      <c r="AA59">
        <v>61</v>
      </c>
      <c r="AC59" s="16">
        <f t="shared" si="4"/>
        <v>2</v>
      </c>
      <c r="AG59">
        <f t="shared" si="5"/>
        <v>55</v>
      </c>
      <c r="AH59">
        <f>1</f>
        <v>1</v>
      </c>
      <c r="AI59">
        <f t="shared" si="2"/>
        <v>0</v>
      </c>
      <c r="AJ59">
        <f t="shared" si="3"/>
        <v>1</v>
      </c>
      <c r="AL59">
        <f t="shared" si="6"/>
        <v>55</v>
      </c>
      <c r="AM59">
        <f>1</f>
        <v>1</v>
      </c>
      <c r="AN59">
        <f t="shared" si="7"/>
        <v>0</v>
      </c>
      <c r="AO59">
        <f t="shared" si="8"/>
        <v>1</v>
      </c>
    </row>
    <row r="60" spans="23:41" x14ac:dyDescent="0.25">
      <c r="AG60">
        <f t="shared" si="5"/>
        <v>56</v>
      </c>
      <c r="AH60">
        <f>1</f>
        <v>1</v>
      </c>
      <c r="AI60">
        <f t="shared" si="2"/>
        <v>0</v>
      </c>
      <c r="AJ60">
        <f t="shared" si="3"/>
        <v>1</v>
      </c>
      <c r="AL60">
        <f t="shared" si="6"/>
        <v>56</v>
      </c>
      <c r="AM60">
        <f>1</f>
        <v>1</v>
      </c>
      <c r="AN60">
        <f t="shared" si="7"/>
        <v>0</v>
      </c>
      <c r="AO60">
        <f t="shared" si="8"/>
        <v>1</v>
      </c>
    </row>
    <row r="61" spans="23:41" x14ac:dyDescent="0.25">
      <c r="AG61">
        <f t="shared" si="5"/>
        <v>57</v>
      </c>
      <c r="AH61">
        <f>1</f>
        <v>1</v>
      </c>
      <c r="AI61">
        <f t="shared" si="2"/>
        <v>0</v>
      </c>
      <c r="AJ61">
        <f t="shared" si="3"/>
        <v>1</v>
      </c>
      <c r="AL61">
        <f t="shared" si="6"/>
        <v>57</v>
      </c>
      <c r="AM61">
        <f>1</f>
        <v>1</v>
      </c>
      <c r="AN61">
        <f t="shared" si="7"/>
        <v>0</v>
      </c>
      <c r="AO61">
        <f t="shared" si="8"/>
        <v>1</v>
      </c>
    </row>
    <row r="62" spans="23:41" x14ac:dyDescent="0.25">
      <c r="AG62">
        <f t="shared" si="5"/>
        <v>58</v>
      </c>
      <c r="AH62">
        <f>1</f>
        <v>1</v>
      </c>
      <c r="AI62">
        <f t="shared" si="2"/>
        <v>0</v>
      </c>
      <c r="AJ62">
        <f t="shared" si="3"/>
        <v>1</v>
      </c>
      <c r="AL62">
        <f t="shared" si="6"/>
        <v>58</v>
      </c>
      <c r="AM62">
        <f>1</f>
        <v>1</v>
      </c>
      <c r="AN62">
        <f t="shared" si="7"/>
        <v>0</v>
      </c>
      <c r="AO62">
        <f t="shared" si="8"/>
        <v>1</v>
      </c>
    </row>
    <row r="63" spans="23:41" x14ac:dyDescent="0.25">
      <c r="AG63">
        <f t="shared" si="5"/>
        <v>59</v>
      </c>
      <c r="AH63">
        <f>1</f>
        <v>1</v>
      </c>
      <c r="AI63">
        <f t="shared" si="2"/>
        <v>0</v>
      </c>
      <c r="AJ63">
        <f t="shared" si="3"/>
        <v>1</v>
      </c>
      <c r="AL63">
        <f t="shared" si="6"/>
        <v>59</v>
      </c>
      <c r="AM63">
        <f>1</f>
        <v>1</v>
      </c>
      <c r="AN63">
        <f t="shared" si="7"/>
        <v>0</v>
      </c>
      <c r="AO63">
        <f t="shared" si="8"/>
        <v>1</v>
      </c>
    </row>
    <row r="64" spans="23:41" x14ac:dyDescent="0.25">
      <c r="AG64">
        <f t="shared" si="5"/>
        <v>60</v>
      </c>
      <c r="AH64">
        <f>1</f>
        <v>1</v>
      </c>
      <c r="AI64">
        <f t="shared" si="2"/>
        <v>0</v>
      </c>
      <c r="AJ64">
        <f t="shared" si="3"/>
        <v>1</v>
      </c>
      <c r="AL64">
        <f t="shared" si="6"/>
        <v>60</v>
      </c>
      <c r="AM64">
        <f>1</f>
        <v>1</v>
      </c>
      <c r="AN64">
        <f t="shared" si="7"/>
        <v>0</v>
      </c>
      <c r="AO64">
        <f t="shared" si="8"/>
        <v>1</v>
      </c>
    </row>
    <row r="65" spans="33:41" x14ac:dyDescent="0.25">
      <c r="AG65">
        <f t="shared" si="5"/>
        <v>61</v>
      </c>
      <c r="AH65">
        <f>1</f>
        <v>1</v>
      </c>
      <c r="AI65">
        <f t="shared" si="2"/>
        <v>0</v>
      </c>
      <c r="AJ65">
        <f t="shared" si="3"/>
        <v>1</v>
      </c>
      <c r="AL65">
        <f t="shared" si="6"/>
        <v>61</v>
      </c>
      <c r="AM65">
        <f>1</f>
        <v>1</v>
      </c>
      <c r="AN65">
        <f t="shared" si="7"/>
        <v>0</v>
      </c>
      <c r="AO65">
        <f t="shared" si="8"/>
        <v>1</v>
      </c>
    </row>
    <row r="66" spans="33:41" x14ac:dyDescent="0.25">
      <c r="AG66">
        <f t="shared" si="5"/>
        <v>62</v>
      </c>
      <c r="AH66">
        <f>1</f>
        <v>1</v>
      </c>
      <c r="AI66">
        <f t="shared" si="2"/>
        <v>0</v>
      </c>
      <c r="AJ66">
        <f t="shared" si="3"/>
        <v>1</v>
      </c>
      <c r="AL66">
        <f t="shared" si="6"/>
        <v>62</v>
      </c>
      <c r="AM66">
        <f>1</f>
        <v>1</v>
      </c>
      <c r="AN66">
        <f t="shared" si="7"/>
        <v>0</v>
      </c>
      <c r="AO66">
        <f t="shared" si="8"/>
        <v>1</v>
      </c>
    </row>
    <row r="67" spans="33:41" x14ac:dyDescent="0.25">
      <c r="AG67">
        <f t="shared" si="5"/>
        <v>63</v>
      </c>
      <c r="AH67">
        <f>1</f>
        <v>1</v>
      </c>
      <c r="AI67">
        <f t="shared" si="2"/>
        <v>0</v>
      </c>
      <c r="AJ67">
        <f t="shared" si="3"/>
        <v>1</v>
      </c>
      <c r="AL67">
        <f t="shared" si="6"/>
        <v>63</v>
      </c>
      <c r="AM67">
        <f>1</f>
        <v>1</v>
      </c>
      <c r="AN67">
        <f t="shared" si="7"/>
        <v>0</v>
      </c>
      <c r="AO67">
        <f t="shared" si="8"/>
        <v>1</v>
      </c>
    </row>
    <row r="68" spans="33:41" x14ac:dyDescent="0.25">
      <c r="AG68">
        <f t="shared" si="5"/>
        <v>64</v>
      </c>
      <c r="AH68">
        <f>1</f>
        <v>1</v>
      </c>
      <c r="AI68">
        <f t="shared" si="2"/>
        <v>0</v>
      </c>
      <c r="AJ68">
        <f t="shared" si="3"/>
        <v>1</v>
      </c>
      <c r="AL68">
        <f t="shared" si="6"/>
        <v>64</v>
      </c>
      <c r="AM68">
        <f>1</f>
        <v>1</v>
      </c>
      <c r="AN68">
        <f t="shared" si="7"/>
        <v>0</v>
      </c>
      <c r="AO68">
        <f t="shared" si="8"/>
        <v>1</v>
      </c>
    </row>
    <row r="69" spans="33:41" x14ac:dyDescent="0.25">
      <c r="AG69">
        <f t="shared" si="5"/>
        <v>65</v>
      </c>
      <c r="AH69">
        <f>1</f>
        <v>1</v>
      </c>
      <c r="AI69">
        <f t="shared" si="2"/>
        <v>0</v>
      </c>
      <c r="AJ69">
        <f t="shared" si="3"/>
        <v>1</v>
      </c>
      <c r="AL69">
        <f t="shared" si="6"/>
        <v>65</v>
      </c>
      <c r="AM69">
        <f>1</f>
        <v>1</v>
      </c>
      <c r="AN69">
        <f t="shared" ref="AN69:AN104" si="9">IF(AL69&lt;=($Q$11*100),1,0)</f>
        <v>0</v>
      </c>
      <c r="AO69">
        <f t="shared" ref="AO69:AO104" si="10">IF(AL69&lt;=($Q$13*100),1,0)</f>
        <v>1</v>
      </c>
    </row>
    <row r="70" spans="33:41" x14ac:dyDescent="0.25">
      <c r="AG70">
        <f t="shared" si="5"/>
        <v>66</v>
      </c>
      <c r="AH70">
        <f>1</f>
        <v>1</v>
      </c>
      <c r="AI70">
        <f t="shared" ref="AI70:AI104" si="11">IF(AG70&lt;=($Q$30*100),1,0)</f>
        <v>0</v>
      </c>
      <c r="AJ70">
        <f t="shared" ref="AJ70:AJ104" si="12">IF(AG70&lt;=($Q$32*100),1,0)</f>
        <v>1</v>
      </c>
      <c r="AL70">
        <f t="shared" si="6"/>
        <v>66</v>
      </c>
      <c r="AM70">
        <f>1</f>
        <v>1</v>
      </c>
      <c r="AN70">
        <f t="shared" si="9"/>
        <v>0</v>
      </c>
      <c r="AO70">
        <f t="shared" si="10"/>
        <v>1</v>
      </c>
    </row>
    <row r="71" spans="33:41" x14ac:dyDescent="0.25">
      <c r="AG71">
        <f t="shared" ref="AG71:AG105" si="13">AG70+1</f>
        <v>67</v>
      </c>
      <c r="AH71">
        <f>1</f>
        <v>1</v>
      </c>
      <c r="AI71">
        <f t="shared" si="11"/>
        <v>0</v>
      </c>
      <c r="AJ71">
        <f t="shared" si="12"/>
        <v>1</v>
      </c>
      <c r="AL71">
        <f t="shared" ref="AL71:AL105" si="14">AL70+1</f>
        <v>67</v>
      </c>
      <c r="AM71">
        <f>1</f>
        <v>1</v>
      </c>
      <c r="AN71">
        <f t="shared" si="9"/>
        <v>0</v>
      </c>
      <c r="AO71">
        <f t="shared" si="10"/>
        <v>1</v>
      </c>
    </row>
    <row r="72" spans="33:41" x14ac:dyDescent="0.25">
      <c r="AG72">
        <f t="shared" si="13"/>
        <v>68</v>
      </c>
      <c r="AH72">
        <f>1</f>
        <v>1</v>
      </c>
      <c r="AI72">
        <f t="shared" si="11"/>
        <v>0</v>
      </c>
      <c r="AJ72">
        <f t="shared" si="12"/>
        <v>1</v>
      </c>
      <c r="AL72">
        <f t="shared" si="14"/>
        <v>68</v>
      </c>
      <c r="AM72">
        <f>1</f>
        <v>1</v>
      </c>
      <c r="AN72">
        <f t="shared" si="9"/>
        <v>0</v>
      </c>
      <c r="AO72">
        <f t="shared" si="10"/>
        <v>1</v>
      </c>
    </row>
    <row r="73" spans="33:41" x14ac:dyDescent="0.25">
      <c r="AG73">
        <f t="shared" si="13"/>
        <v>69</v>
      </c>
      <c r="AH73">
        <f>1</f>
        <v>1</v>
      </c>
      <c r="AI73">
        <f t="shared" si="11"/>
        <v>0</v>
      </c>
      <c r="AJ73">
        <f t="shared" si="12"/>
        <v>1</v>
      </c>
      <c r="AL73">
        <f t="shared" si="14"/>
        <v>69</v>
      </c>
      <c r="AM73">
        <f>1</f>
        <v>1</v>
      </c>
      <c r="AN73">
        <f t="shared" si="9"/>
        <v>0</v>
      </c>
      <c r="AO73">
        <f t="shared" si="10"/>
        <v>1</v>
      </c>
    </row>
    <row r="74" spans="33:41" x14ac:dyDescent="0.25">
      <c r="AG74">
        <f t="shared" si="13"/>
        <v>70</v>
      </c>
      <c r="AH74">
        <f>1</f>
        <v>1</v>
      </c>
      <c r="AI74">
        <f t="shared" si="11"/>
        <v>0</v>
      </c>
      <c r="AJ74">
        <f t="shared" si="12"/>
        <v>1</v>
      </c>
      <c r="AL74">
        <f t="shared" si="14"/>
        <v>70</v>
      </c>
      <c r="AM74">
        <f>1</f>
        <v>1</v>
      </c>
      <c r="AN74">
        <f t="shared" si="9"/>
        <v>0</v>
      </c>
      <c r="AO74">
        <f t="shared" si="10"/>
        <v>1</v>
      </c>
    </row>
    <row r="75" spans="33:41" x14ac:dyDescent="0.25">
      <c r="AG75">
        <f t="shared" si="13"/>
        <v>71</v>
      </c>
      <c r="AH75">
        <f>1</f>
        <v>1</v>
      </c>
      <c r="AI75">
        <f t="shared" si="11"/>
        <v>0</v>
      </c>
      <c r="AJ75">
        <f t="shared" si="12"/>
        <v>1</v>
      </c>
      <c r="AL75">
        <f t="shared" si="14"/>
        <v>71</v>
      </c>
      <c r="AM75">
        <f>1</f>
        <v>1</v>
      </c>
      <c r="AN75">
        <f t="shared" si="9"/>
        <v>0</v>
      </c>
      <c r="AO75">
        <f t="shared" si="10"/>
        <v>1</v>
      </c>
    </row>
    <row r="76" spans="33:41" x14ac:dyDescent="0.25">
      <c r="AG76">
        <f t="shared" si="13"/>
        <v>72</v>
      </c>
      <c r="AH76">
        <f>1</f>
        <v>1</v>
      </c>
      <c r="AI76">
        <f t="shared" si="11"/>
        <v>0</v>
      </c>
      <c r="AJ76">
        <f t="shared" si="12"/>
        <v>1</v>
      </c>
      <c r="AL76">
        <f t="shared" si="14"/>
        <v>72</v>
      </c>
      <c r="AM76">
        <f>1</f>
        <v>1</v>
      </c>
      <c r="AN76">
        <f t="shared" si="9"/>
        <v>0</v>
      </c>
      <c r="AO76">
        <f t="shared" si="10"/>
        <v>1</v>
      </c>
    </row>
    <row r="77" spans="33:41" x14ac:dyDescent="0.25">
      <c r="AG77">
        <f t="shared" si="13"/>
        <v>73</v>
      </c>
      <c r="AH77">
        <f>1</f>
        <v>1</v>
      </c>
      <c r="AI77">
        <f t="shared" si="11"/>
        <v>0</v>
      </c>
      <c r="AJ77">
        <f t="shared" si="12"/>
        <v>1</v>
      </c>
      <c r="AL77">
        <f t="shared" si="14"/>
        <v>73</v>
      </c>
      <c r="AM77">
        <f>1</f>
        <v>1</v>
      </c>
      <c r="AN77">
        <f t="shared" si="9"/>
        <v>0</v>
      </c>
      <c r="AO77">
        <f t="shared" si="10"/>
        <v>1</v>
      </c>
    </row>
    <row r="78" spans="33:41" x14ac:dyDescent="0.25">
      <c r="AG78">
        <f t="shared" si="13"/>
        <v>74</v>
      </c>
      <c r="AH78">
        <f>1</f>
        <v>1</v>
      </c>
      <c r="AI78">
        <f t="shared" si="11"/>
        <v>0</v>
      </c>
      <c r="AJ78">
        <f t="shared" si="12"/>
        <v>1</v>
      </c>
      <c r="AL78">
        <f t="shared" si="14"/>
        <v>74</v>
      </c>
      <c r="AM78">
        <f>1</f>
        <v>1</v>
      </c>
      <c r="AN78">
        <f t="shared" si="9"/>
        <v>0</v>
      </c>
      <c r="AO78">
        <f t="shared" si="10"/>
        <v>1</v>
      </c>
    </row>
    <row r="79" spans="33:41" x14ac:dyDescent="0.25">
      <c r="AG79">
        <f t="shared" si="13"/>
        <v>75</v>
      </c>
      <c r="AH79">
        <f>1</f>
        <v>1</v>
      </c>
      <c r="AI79">
        <f t="shared" si="11"/>
        <v>0</v>
      </c>
      <c r="AJ79">
        <f t="shared" si="12"/>
        <v>0</v>
      </c>
      <c r="AL79">
        <f t="shared" si="14"/>
        <v>75</v>
      </c>
      <c r="AM79">
        <f>1</f>
        <v>1</v>
      </c>
      <c r="AN79">
        <f t="shared" si="9"/>
        <v>0</v>
      </c>
      <c r="AO79">
        <f t="shared" si="10"/>
        <v>0</v>
      </c>
    </row>
    <row r="80" spans="33:41" x14ac:dyDescent="0.25">
      <c r="AG80">
        <f t="shared" si="13"/>
        <v>76</v>
      </c>
      <c r="AH80">
        <f>1</f>
        <v>1</v>
      </c>
      <c r="AI80">
        <f t="shared" si="11"/>
        <v>0</v>
      </c>
      <c r="AJ80">
        <f t="shared" si="12"/>
        <v>0</v>
      </c>
      <c r="AL80">
        <f t="shared" si="14"/>
        <v>76</v>
      </c>
      <c r="AM80">
        <f>1</f>
        <v>1</v>
      </c>
      <c r="AN80">
        <f t="shared" si="9"/>
        <v>0</v>
      </c>
      <c r="AO80">
        <f t="shared" si="10"/>
        <v>0</v>
      </c>
    </row>
    <row r="81" spans="33:41" x14ac:dyDescent="0.25">
      <c r="AG81">
        <f t="shared" si="13"/>
        <v>77</v>
      </c>
      <c r="AH81">
        <f>1</f>
        <v>1</v>
      </c>
      <c r="AI81">
        <f t="shared" si="11"/>
        <v>0</v>
      </c>
      <c r="AJ81">
        <f t="shared" si="12"/>
        <v>0</v>
      </c>
      <c r="AL81">
        <f t="shared" si="14"/>
        <v>77</v>
      </c>
      <c r="AM81">
        <f>1</f>
        <v>1</v>
      </c>
      <c r="AN81">
        <f t="shared" si="9"/>
        <v>0</v>
      </c>
      <c r="AO81">
        <f t="shared" si="10"/>
        <v>0</v>
      </c>
    </row>
    <row r="82" spans="33:41" x14ac:dyDescent="0.25">
      <c r="AG82">
        <f t="shared" si="13"/>
        <v>78</v>
      </c>
      <c r="AH82">
        <f>1</f>
        <v>1</v>
      </c>
      <c r="AI82">
        <f t="shared" si="11"/>
        <v>0</v>
      </c>
      <c r="AJ82">
        <f t="shared" si="12"/>
        <v>0</v>
      </c>
      <c r="AL82">
        <f t="shared" si="14"/>
        <v>78</v>
      </c>
      <c r="AM82">
        <f>1</f>
        <v>1</v>
      </c>
      <c r="AN82">
        <f t="shared" si="9"/>
        <v>0</v>
      </c>
      <c r="AO82">
        <f t="shared" si="10"/>
        <v>0</v>
      </c>
    </row>
    <row r="83" spans="33:41" x14ac:dyDescent="0.25">
      <c r="AG83">
        <f t="shared" si="13"/>
        <v>79</v>
      </c>
      <c r="AH83">
        <f>1</f>
        <v>1</v>
      </c>
      <c r="AI83">
        <f t="shared" si="11"/>
        <v>0</v>
      </c>
      <c r="AJ83">
        <f t="shared" si="12"/>
        <v>0</v>
      </c>
      <c r="AL83">
        <f t="shared" si="14"/>
        <v>79</v>
      </c>
      <c r="AM83">
        <f>1</f>
        <v>1</v>
      </c>
      <c r="AN83">
        <f t="shared" si="9"/>
        <v>0</v>
      </c>
      <c r="AO83">
        <f t="shared" si="10"/>
        <v>0</v>
      </c>
    </row>
    <row r="84" spans="33:41" x14ac:dyDescent="0.25">
      <c r="AG84">
        <f t="shared" si="13"/>
        <v>80</v>
      </c>
      <c r="AH84">
        <f>1</f>
        <v>1</v>
      </c>
      <c r="AI84">
        <f t="shared" si="11"/>
        <v>0</v>
      </c>
      <c r="AJ84">
        <f t="shared" si="12"/>
        <v>0</v>
      </c>
      <c r="AL84">
        <f t="shared" si="14"/>
        <v>80</v>
      </c>
      <c r="AM84">
        <f>1</f>
        <v>1</v>
      </c>
      <c r="AN84">
        <f t="shared" si="9"/>
        <v>0</v>
      </c>
      <c r="AO84">
        <f t="shared" si="10"/>
        <v>0</v>
      </c>
    </row>
    <row r="85" spans="33:41" x14ac:dyDescent="0.25">
      <c r="AG85">
        <f t="shared" si="13"/>
        <v>81</v>
      </c>
      <c r="AH85">
        <f>1</f>
        <v>1</v>
      </c>
      <c r="AI85">
        <f t="shared" si="11"/>
        <v>0</v>
      </c>
      <c r="AJ85">
        <f t="shared" si="12"/>
        <v>0</v>
      </c>
      <c r="AL85">
        <f t="shared" si="14"/>
        <v>81</v>
      </c>
      <c r="AM85">
        <f>1</f>
        <v>1</v>
      </c>
      <c r="AN85">
        <f t="shared" si="9"/>
        <v>0</v>
      </c>
      <c r="AO85">
        <f t="shared" si="10"/>
        <v>0</v>
      </c>
    </row>
    <row r="86" spans="33:41" x14ac:dyDescent="0.25">
      <c r="AG86">
        <f t="shared" si="13"/>
        <v>82</v>
      </c>
      <c r="AH86">
        <f>1</f>
        <v>1</v>
      </c>
      <c r="AI86">
        <f t="shared" si="11"/>
        <v>0</v>
      </c>
      <c r="AJ86">
        <f t="shared" si="12"/>
        <v>0</v>
      </c>
      <c r="AL86">
        <f t="shared" si="14"/>
        <v>82</v>
      </c>
      <c r="AM86">
        <f>1</f>
        <v>1</v>
      </c>
      <c r="AN86">
        <f t="shared" si="9"/>
        <v>0</v>
      </c>
      <c r="AO86">
        <f t="shared" si="10"/>
        <v>0</v>
      </c>
    </row>
    <row r="87" spans="33:41" x14ac:dyDescent="0.25">
      <c r="AG87">
        <f t="shared" si="13"/>
        <v>83</v>
      </c>
      <c r="AH87">
        <f>1</f>
        <v>1</v>
      </c>
      <c r="AI87">
        <f t="shared" si="11"/>
        <v>0</v>
      </c>
      <c r="AJ87">
        <f t="shared" si="12"/>
        <v>0</v>
      </c>
      <c r="AL87">
        <f t="shared" si="14"/>
        <v>83</v>
      </c>
      <c r="AM87">
        <f>1</f>
        <v>1</v>
      </c>
      <c r="AN87">
        <f t="shared" si="9"/>
        <v>0</v>
      </c>
      <c r="AO87">
        <f t="shared" si="10"/>
        <v>0</v>
      </c>
    </row>
    <row r="88" spans="33:41" x14ac:dyDescent="0.25">
      <c r="AG88">
        <f t="shared" si="13"/>
        <v>84</v>
      </c>
      <c r="AH88">
        <f>1</f>
        <v>1</v>
      </c>
      <c r="AI88">
        <f t="shared" si="11"/>
        <v>0</v>
      </c>
      <c r="AJ88">
        <f t="shared" si="12"/>
        <v>0</v>
      </c>
      <c r="AL88">
        <f t="shared" si="14"/>
        <v>84</v>
      </c>
      <c r="AM88">
        <f>1</f>
        <v>1</v>
      </c>
      <c r="AN88">
        <f t="shared" si="9"/>
        <v>0</v>
      </c>
      <c r="AO88">
        <f t="shared" si="10"/>
        <v>0</v>
      </c>
    </row>
    <row r="89" spans="33:41" x14ac:dyDescent="0.25">
      <c r="AG89">
        <f t="shared" si="13"/>
        <v>85</v>
      </c>
      <c r="AH89">
        <f>1</f>
        <v>1</v>
      </c>
      <c r="AI89">
        <f t="shared" si="11"/>
        <v>0</v>
      </c>
      <c r="AJ89">
        <f t="shared" si="12"/>
        <v>0</v>
      </c>
      <c r="AL89">
        <f t="shared" si="14"/>
        <v>85</v>
      </c>
      <c r="AM89">
        <f>1</f>
        <v>1</v>
      </c>
      <c r="AN89">
        <f t="shared" si="9"/>
        <v>0</v>
      </c>
      <c r="AO89">
        <f t="shared" si="10"/>
        <v>0</v>
      </c>
    </row>
    <row r="90" spans="33:41" x14ac:dyDescent="0.25">
      <c r="AG90">
        <f t="shared" si="13"/>
        <v>86</v>
      </c>
      <c r="AH90">
        <f>1</f>
        <v>1</v>
      </c>
      <c r="AI90">
        <f t="shared" si="11"/>
        <v>0</v>
      </c>
      <c r="AJ90">
        <f t="shared" si="12"/>
        <v>0</v>
      </c>
      <c r="AL90">
        <f t="shared" si="14"/>
        <v>86</v>
      </c>
      <c r="AM90">
        <f>1</f>
        <v>1</v>
      </c>
      <c r="AN90">
        <f t="shared" si="9"/>
        <v>0</v>
      </c>
      <c r="AO90">
        <f t="shared" si="10"/>
        <v>0</v>
      </c>
    </row>
    <row r="91" spans="33:41" x14ac:dyDescent="0.25">
      <c r="AG91">
        <f t="shared" si="13"/>
        <v>87</v>
      </c>
      <c r="AH91">
        <f>1</f>
        <v>1</v>
      </c>
      <c r="AI91">
        <f t="shared" si="11"/>
        <v>0</v>
      </c>
      <c r="AJ91">
        <f t="shared" si="12"/>
        <v>0</v>
      </c>
      <c r="AL91">
        <f t="shared" si="14"/>
        <v>87</v>
      </c>
      <c r="AM91">
        <f>1</f>
        <v>1</v>
      </c>
      <c r="AN91">
        <f t="shared" si="9"/>
        <v>0</v>
      </c>
      <c r="AO91">
        <f t="shared" si="10"/>
        <v>0</v>
      </c>
    </row>
    <row r="92" spans="33:41" x14ac:dyDescent="0.25">
      <c r="AG92">
        <f t="shared" si="13"/>
        <v>88</v>
      </c>
      <c r="AH92">
        <f>1</f>
        <v>1</v>
      </c>
      <c r="AI92">
        <f t="shared" si="11"/>
        <v>0</v>
      </c>
      <c r="AJ92">
        <f t="shared" si="12"/>
        <v>0</v>
      </c>
      <c r="AL92">
        <f t="shared" si="14"/>
        <v>88</v>
      </c>
      <c r="AM92">
        <f>1</f>
        <v>1</v>
      </c>
      <c r="AN92">
        <f t="shared" si="9"/>
        <v>0</v>
      </c>
      <c r="AO92">
        <f t="shared" si="10"/>
        <v>0</v>
      </c>
    </row>
    <row r="93" spans="33:41" x14ac:dyDescent="0.25">
      <c r="AG93">
        <f t="shared" si="13"/>
        <v>89</v>
      </c>
      <c r="AH93">
        <f>1</f>
        <v>1</v>
      </c>
      <c r="AI93">
        <f t="shared" si="11"/>
        <v>0</v>
      </c>
      <c r="AJ93">
        <f t="shared" si="12"/>
        <v>0</v>
      </c>
      <c r="AL93">
        <f t="shared" si="14"/>
        <v>89</v>
      </c>
      <c r="AM93">
        <f>1</f>
        <v>1</v>
      </c>
      <c r="AN93">
        <f t="shared" si="9"/>
        <v>0</v>
      </c>
      <c r="AO93">
        <f t="shared" si="10"/>
        <v>0</v>
      </c>
    </row>
    <row r="94" spans="33:41" x14ac:dyDescent="0.25">
      <c r="AG94">
        <f t="shared" si="13"/>
        <v>90</v>
      </c>
      <c r="AH94">
        <f>1</f>
        <v>1</v>
      </c>
      <c r="AI94">
        <f t="shared" si="11"/>
        <v>0</v>
      </c>
      <c r="AJ94">
        <f t="shared" si="12"/>
        <v>0</v>
      </c>
      <c r="AL94">
        <f t="shared" si="14"/>
        <v>90</v>
      </c>
      <c r="AM94">
        <f>1</f>
        <v>1</v>
      </c>
      <c r="AN94">
        <f t="shared" si="9"/>
        <v>0</v>
      </c>
      <c r="AO94">
        <f t="shared" si="10"/>
        <v>0</v>
      </c>
    </row>
    <row r="95" spans="33:41" x14ac:dyDescent="0.25">
      <c r="AG95">
        <f t="shared" si="13"/>
        <v>91</v>
      </c>
      <c r="AH95">
        <f>1</f>
        <v>1</v>
      </c>
      <c r="AI95">
        <f t="shared" si="11"/>
        <v>0</v>
      </c>
      <c r="AJ95">
        <f t="shared" si="12"/>
        <v>0</v>
      </c>
      <c r="AL95">
        <f t="shared" si="14"/>
        <v>91</v>
      </c>
      <c r="AM95">
        <f>1</f>
        <v>1</v>
      </c>
      <c r="AN95">
        <f t="shared" si="9"/>
        <v>0</v>
      </c>
      <c r="AO95">
        <f t="shared" si="10"/>
        <v>0</v>
      </c>
    </row>
    <row r="96" spans="33:41" x14ac:dyDescent="0.25">
      <c r="AG96">
        <f t="shared" si="13"/>
        <v>92</v>
      </c>
      <c r="AH96">
        <f>1</f>
        <v>1</v>
      </c>
      <c r="AI96">
        <f t="shared" si="11"/>
        <v>0</v>
      </c>
      <c r="AJ96">
        <f t="shared" si="12"/>
        <v>0</v>
      </c>
      <c r="AL96">
        <f t="shared" si="14"/>
        <v>92</v>
      </c>
      <c r="AM96">
        <f>1</f>
        <v>1</v>
      </c>
      <c r="AN96">
        <f t="shared" si="9"/>
        <v>0</v>
      </c>
      <c r="AO96">
        <f t="shared" si="10"/>
        <v>0</v>
      </c>
    </row>
    <row r="97" spans="33:41" x14ac:dyDescent="0.25">
      <c r="AG97">
        <f t="shared" si="13"/>
        <v>93</v>
      </c>
      <c r="AH97">
        <f>1</f>
        <v>1</v>
      </c>
      <c r="AI97">
        <f t="shared" si="11"/>
        <v>0</v>
      </c>
      <c r="AJ97">
        <f t="shared" si="12"/>
        <v>0</v>
      </c>
      <c r="AL97">
        <f t="shared" si="14"/>
        <v>93</v>
      </c>
      <c r="AM97">
        <f>1</f>
        <v>1</v>
      </c>
      <c r="AN97">
        <f t="shared" si="9"/>
        <v>0</v>
      </c>
      <c r="AO97">
        <f t="shared" si="10"/>
        <v>0</v>
      </c>
    </row>
    <row r="98" spans="33:41" x14ac:dyDescent="0.25">
      <c r="AG98">
        <f t="shared" si="13"/>
        <v>94</v>
      </c>
      <c r="AH98">
        <f>1</f>
        <v>1</v>
      </c>
      <c r="AI98">
        <f t="shared" si="11"/>
        <v>0</v>
      </c>
      <c r="AJ98">
        <f t="shared" si="12"/>
        <v>0</v>
      </c>
      <c r="AL98">
        <f t="shared" si="14"/>
        <v>94</v>
      </c>
      <c r="AM98">
        <f>1</f>
        <v>1</v>
      </c>
      <c r="AN98">
        <f t="shared" si="9"/>
        <v>0</v>
      </c>
      <c r="AO98">
        <f t="shared" si="10"/>
        <v>0</v>
      </c>
    </row>
    <row r="99" spans="33:41" x14ac:dyDescent="0.25">
      <c r="AG99">
        <f t="shared" si="13"/>
        <v>95</v>
      </c>
      <c r="AH99">
        <f>1</f>
        <v>1</v>
      </c>
      <c r="AI99">
        <f t="shared" si="11"/>
        <v>0</v>
      </c>
      <c r="AJ99">
        <f t="shared" si="12"/>
        <v>0</v>
      </c>
      <c r="AL99">
        <f t="shared" si="14"/>
        <v>95</v>
      </c>
      <c r="AM99">
        <f>1</f>
        <v>1</v>
      </c>
      <c r="AN99">
        <f t="shared" si="9"/>
        <v>0</v>
      </c>
      <c r="AO99">
        <f t="shared" si="10"/>
        <v>0</v>
      </c>
    </row>
    <row r="100" spans="33:41" x14ac:dyDescent="0.25">
      <c r="AG100">
        <f t="shared" si="13"/>
        <v>96</v>
      </c>
      <c r="AH100">
        <f>1</f>
        <v>1</v>
      </c>
      <c r="AI100">
        <f t="shared" si="11"/>
        <v>0</v>
      </c>
      <c r="AJ100">
        <f t="shared" si="12"/>
        <v>0</v>
      </c>
      <c r="AL100">
        <f t="shared" si="14"/>
        <v>96</v>
      </c>
      <c r="AM100">
        <f>1</f>
        <v>1</v>
      </c>
      <c r="AN100">
        <f t="shared" si="9"/>
        <v>0</v>
      </c>
      <c r="AO100">
        <f t="shared" si="10"/>
        <v>0</v>
      </c>
    </row>
    <row r="101" spans="33:41" x14ac:dyDescent="0.25">
      <c r="AG101">
        <f t="shared" si="13"/>
        <v>97</v>
      </c>
      <c r="AH101">
        <f>1</f>
        <v>1</v>
      </c>
      <c r="AI101">
        <f t="shared" si="11"/>
        <v>0</v>
      </c>
      <c r="AJ101">
        <f t="shared" si="12"/>
        <v>0</v>
      </c>
      <c r="AL101">
        <f t="shared" si="14"/>
        <v>97</v>
      </c>
      <c r="AM101">
        <f>1</f>
        <v>1</v>
      </c>
      <c r="AN101">
        <f t="shared" si="9"/>
        <v>0</v>
      </c>
      <c r="AO101">
        <f t="shared" si="10"/>
        <v>0</v>
      </c>
    </row>
    <row r="102" spans="33:41" x14ac:dyDescent="0.25">
      <c r="AG102">
        <f t="shared" si="13"/>
        <v>98</v>
      </c>
      <c r="AH102">
        <f>1</f>
        <v>1</v>
      </c>
      <c r="AI102">
        <f t="shared" si="11"/>
        <v>0</v>
      </c>
      <c r="AJ102">
        <f t="shared" si="12"/>
        <v>0</v>
      </c>
      <c r="AL102">
        <f t="shared" si="14"/>
        <v>98</v>
      </c>
      <c r="AM102">
        <f>1</f>
        <v>1</v>
      </c>
      <c r="AN102">
        <f t="shared" si="9"/>
        <v>0</v>
      </c>
      <c r="AO102">
        <f t="shared" si="10"/>
        <v>0</v>
      </c>
    </row>
    <row r="103" spans="33:41" x14ac:dyDescent="0.25">
      <c r="AG103">
        <f t="shared" si="13"/>
        <v>99</v>
      </c>
      <c r="AH103">
        <f>1</f>
        <v>1</v>
      </c>
      <c r="AI103">
        <f t="shared" si="11"/>
        <v>0</v>
      </c>
      <c r="AJ103">
        <f t="shared" si="12"/>
        <v>0</v>
      </c>
      <c r="AL103">
        <f t="shared" si="14"/>
        <v>99</v>
      </c>
      <c r="AM103">
        <f>1</f>
        <v>1</v>
      </c>
      <c r="AN103">
        <f t="shared" si="9"/>
        <v>0</v>
      </c>
      <c r="AO103">
        <f t="shared" si="10"/>
        <v>0</v>
      </c>
    </row>
    <row r="104" spans="33:41" x14ac:dyDescent="0.25">
      <c r="AG104">
        <f t="shared" si="13"/>
        <v>100</v>
      </c>
      <c r="AH104">
        <f>1</f>
        <v>1</v>
      </c>
      <c r="AI104">
        <f t="shared" si="11"/>
        <v>0</v>
      </c>
      <c r="AJ104">
        <f t="shared" si="12"/>
        <v>0</v>
      </c>
      <c r="AL104">
        <f t="shared" si="14"/>
        <v>100</v>
      </c>
      <c r="AM104">
        <f>1</f>
        <v>1</v>
      </c>
      <c r="AN104">
        <f t="shared" si="9"/>
        <v>0</v>
      </c>
      <c r="AO104">
        <f t="shared" si="10"/>
        <v>0</v>
      </c>
    </row>
    <row r="105" spans="33:41" x14ac:dyDescent="0.25">
      <c r="AG105">
        <f t="shared" si="13"/>
        <v>101</v>
      </c>
      <c r="AH105">
        <v>100</v>
      </c>
      <c r="AI105" s="16">
        <f>200-Q30*100</f>
        <v>174.69849771143146</v>
      </c>
      <c r="AJ105">
        <f>200-Q32*100</f>
        <v>125.30150228856854</v>
      </c>
      <c r="AL105">
        <f t="shared" si="14"/>
        <v>101</v>
      </c>
      <c r="AM105">
        <v>100</v>
      </c>
      <c r="AN105" s="16">
        <f>200-Q11*100</f>
        <v>174.69849771143146</v>
      </c>
      <c r="AO105">
        <f>200-Q13*100</f>
        <v>125.30150228856854</v>
      </c>
    </row>
  </sheetData>
  <pageMargins left="0.7" right="0.7" top="0.75" bottom="0.75" header="0.3" footer="0.3"/>
  <pageSetup paperSize="9" orientation="portrait" verticalDpi="300" r:id="rId1"/>
  <drawing r:id="rId2"/>
  <webPublishItems count="1">
    <webPublishItem id="5952" divId="Project Zero Dashboard 1_5952" sourceType="sheet" destinationFile="C:\Users\Latitude5510\OneDrive - Tractoroutdoor\Documents\BMT\GitHub\Solar Dashboard\Solar-Dashboard\Project Zero Dashboard 1.mht"/>
  </webPublishItem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D9D63-8C4C-422A-B7FC-64D381F078C0}">
  <dimension ref="A1:AF59"/>
  <sheetViews>
    <sheetView topLeftCell="A34" zoomScale="85" zoomScaleNormal="85" workbookViewId="0">
      <pane xSplit="1" topLeftCell="B1" activePane="topRight" state="frozen"/>
      <selection pane="topRight" activeCell="D46" sqref="D46"/>
    </sheetView>
  </sheetViews>
  <sheetFormatPr defaultColWidth="8.7109375" defaultRowHeight="15" x14ac:dyDescent="0.25"/>
  <cols>
    <col min="1" max="1" width="12.85546875" style="25" customWidth="1"/>
    <col min="2" max="16384" width="8.7109375" style="16"/>
  </cols>
  <sheetData>
    <row r="1" spans="1:32" s="25" customFormat="1" x14ac:dyDescent="0.25">
      <c r="A1" s="25" t="s">
        <v>73</v>
      </c>
      <c r="B1" s="25">
        <v>1</v>
      </c>
      <c r="C1" s="25">
        <v>2</v>
      </c>
      <c r="D1" s="25">
        <v>3</v>
      </c>
      <c r="E1" s="25">
        <v>4</v>
      </c>
      <c r="F1" s="25">
        <v>5</v>
      </c>
      <c r="G1" s="25">
        <v>6</v>
      </c>
      <c r="H1" s="25">
        <v>7</v>
      </c>
      <c r="I1" s="25">
        <v>8</v>
      </c>
      <c r="J1" s="25">
        <v>9</v>
      </c>
      <c r="K1" s="25">
        <v>10</v>
      </c>
      <c r="L1" s="25">
        <v>11</v>
      </c>
      <c r="M1" s="25">
        <v>12</v>
      </c>
      <c r="N1" s="25">
        <v>13</v>
      </c>
      <c r="O1" s="25">
        <v>14</v>
      </c>
      <c r="P1" s="25">
        <v>15</v>
      </c>
      <c r="Q1" s="25">
        <v>16</v>
      </c>
      <c r="R1" s="25">
        <v>17</v>
      </c>
      <c r="S1" s="25">
        <v>18</v>
      </c>
      <c r="T1" s="25">
        <v>19</v>
      </c>
      <c r="U1" s="25">
        <v>20</v>
      </c>
      <c r="V1" s="25">
        <v>21</v>
      </c>
      <c r="W1" s="25">
        <v>22</v>
      </c>
      <c r="X1" s="25">
        <v>23</v>
      </c>
      <c r="Y1" s="25">
        <v>24</v>
      </c>
      <c r="Z1" s="25">
        <v>25</v>
      </c>
      <c r="AA1" s="25">
        <v>26</v>
      </c>
      <c r="AB1" s="25">
        <v>27</v>
      </c>
      <c r="AC1" s="25">
        <v>28</v>
      </c>
      <c r="AD1" s="25">
        <v>29</v>
      </c>
      <c r="AE1" s="25">
        <v>30</v>
      </c>
      <c r="AF1" s="25">
        <v>31</v>
      </c>
    </row>
    <row r="2" spans="1:32" x14ac:dyDescent="0.25">
      <c r="A2" s="25" t="s">
        <v>9</v>
      </c>
      <c r="B2" s="17">
        <v>0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</row>
    <row r="3" spans="1:32" ht="17.25" x14ac:dyDescent="0.3">
      <c r="A3" s="25" t="s">
        <v>11</v>
      </c>
      <c r="B3" s="17">
        <v>0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35"/>
      <c r="AE3" s="38"/>
    </row>
    <row r="4" spans="1:32" x14ac:dyDescent="0.25">
      <c r="A4" s="25" t="s">
        <v>13</v>
      </c>
      <c r="B4" s="17">
        <v>0</v>
      </c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</row>
    <row r="5" spans="1:32" x14ac:dyDescent="0.25">
      <c r="A5" s="25" t="s">
        <v>14</v>
      </c>
      <c r="B5" s="17">
        <v>0</v>
      </c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</row>
    <row r="6" spans="1:32" x14ac:dyDescent="0.25">
      <c r="A6" s="25" t="s">
        <v>16</v>
      </c>
      <c r="B6" s="17">
        <v>0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</row>
    <row r="7" spans="1:32" x14ac:dyDescent="0.25">
      <c r="A7" s="25" t="s">
        <v>17</v>
      </c>
      <c r="B7" s="17">
        <v>0</v>
      </c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</row>
    <row r="8" spans="1:32" x14ac:dyDescent="0.25">
      <c r="A8" s="25" t="s">
        <v>19</v>
      </c>
      <c r="B8" s="16">
        <v>50</v>
      </c>
    </row>
    <row r="9" spans="1:32" x14ac:dyDescent="0.25">
      <c r="A9" s="25" t="s">
        <v>20</v>
      </c>
      <c r="B9" s="16">
        <v>0</v>
      </c>
    </row>
    <row r="10" spans="1:32" x14ac:dyDescent="0.25">
      <c r="A10" s="25" t="s">
        <v>21</v>
      </c>
      <c r="B10" s="16">
        <v>0</v>
      </c>
    </row>
    <row r="11" spans="1:32" x14ac:dyDescent="0.25">
      <c r="A11" s="25" t="s">
        <v>22</v>
      </c>
      <c r="B11" s="16">
        <v>80</v>
      </c>
    </row>
    <row r="12" spans="1:32" x14ac:dyDescent="0.25">
      <c r="A12" s="25" t="s">
        <v>23</v>
      </c>
      <c r="B12" s="16">
        <v>0</v>
      </c>
    </row>
    <row r="13" spans="1:32" x14ac:dyDescent="0.25">
      <c r="A13" s="25" t="s">
        <v>24</v>
      </c>
      <c r="B13" s="16">
        <v>0</v>
      </c>
    </row>
    <row r="14" spans="1:32" x14ac:dyDescent="0.25">
      <c r="A14" s="25" t="s">
        <v>25</v>
      </c>
      <c r="B14" s="16">
        <v>0</v>
      </c>
    </row>
    <row r="15" spans="1:32" x14ac:dyDescent="0.25">
      <c r="A15" s="25" t="s">
        <v>26</v>
      </c>
      <c r="B15" s="16">
        <v>10</v>
      </c>
    </row>
    <row r="16" spans="1:32" x14ac:dyDescent="0.25">
      <c r="A16" s="25" t="s">
        <v>27</v>
      </c>
      <c r="B16" s="16">
        <v>0</v>
      </c>
    </row>
    <row r="17" spans="1:29" x14ac:dyDescent="0.25">
      <c r="A17" s="25" t="s">
        <v>28</v>
      </c>
      <c r="B17" s="37">
        <v>121.1</v>
      </c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</row>
    <row r="18" spans="1:29" x14ac:dyDescent="0.25">
      <c r="A18" s="25" t="s">
        <v>29</v>
      </c>
      <c r="B18" s="16">
        <v>0</v>
      </c>
    </row>
    <row r="19" spans="1:29" x14ac:dyDescent="0.25">
      <c r="A19" s="25" t="s">
        <v>30</v>
      </c>
      <c r="B19" s="16">
        <v>34</v>
      </c>
    </row>
    <row r="20" spans="1:29" x14ac:dyDescent="0.25">
      <c r="A20" s="25" t="s">
        <v>31</v>
      </c>
      <c r="B20" s="16">
        <v>0</v>
      </c>
    </row>
    <row r="21" spans="1:29" x14ac:dyDescent="0.25">
      <c r="A21" s="25" t="s">
        <v>32</v>
      </c>
      <c r="B21" s="16">
        <v>0</v>
      </c>
    </row>
    <row r="22" spans="1:29" x14ac:dyDescent="0.25">
      <c r="A22" s="25" t="s">
        <v>33</v>
      </c>
      <c r="B22" s="16">
        <v>0</v>
      </c>
    </row>
    <row r="23" spans="1:29" x14ac:dyDescent="0.25">
      <c r="A23" s="25" t="s">
        <v>34</v>
      </c>
      <c r="B23" s="16">
        <v>0</v>
      </c>
    </row>
    <row r="24" spans="1:29" x14ac:dyDescent="0.25">
      <c r="A24" s="25" t="s">
        <v>35</v>
      </c>
      <c r="B24" s="37">
        <v>46.2</v>
      </c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</row>
    <row r="25" spans="1:29" x14ac:dyDescent="0.25">
      <c r="A25" s="25" t="s">
        <v>36</v>
      </c>
      <c r="B25" s="16">
        <v>0</v>
      </c>
    </row>
    <row r="26" spans="1:29" x14ac:dyDescent="0.25">
      <c r="A26" s="25" t="s">
        <v>37</v>
      </c>
      <c r="B26" s="37">
        <v>60.8</v>
      </c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</row>
    <row r="27" spans="1:29" x14ac:dyDescent="0.25">
      <c r="A27" s="25" t="s">
        <v>38</v>
      </c>
      <c r="B27" s="16">
        <v>0</v>
      </c>
    </row>
    <row r="28" spans="1:29" x14ac:dyDescent="0.25">
      <c r="A28" s="25" t="s">
        <v>39</v>
      </c>
      <c r="B28" s="16">
        <v>0</v>
      </c>
    </row>
    <row r="29" spans="1:29" x14ac:dyDescent="0.25">
      <c r="A29" s="25" t="s">
        <v>40</v>
      </c>
      <c r="B29" s="35">
        <v>10</v>
      </c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</row>
    <row r="30" spans="1:29" ht="17.25" x14ac:dyDescent="0.3">
      <c r="A30" s="25" t="s">
        <v>41</v>
      </c>
      <c r="B30" s="38">
        <v>48</v>
      </c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 spans="1:29" x14ac:dyDescent="0.25">
      <c r="A31" s="25" t="s">
        <v>42</v>
      </c>
      <c r="B31" s="16">
        <v>42</v>
      </c>
    </row>
    <row r="32" spans="1:29" x14ac:dyDescent="0.25">
      <c r="A32" s="25" t="s">
        <v>43</v>
      </c>
      <c r="B32" s="16">
        <v>0</v>
      </c>
    </row>
    <row r="33" spans="1:2" x14ac:dyDescent="0.25">
      <c r="A33" s="25" t="s">
        <v>44</v>
      </c>
      <c r="B33" s="16">
        <v>30</v>
      </c>
    </row>
    <row r="34" spans="1:2" x14ac:dyDescent="0.25">
      <c r="A34" s="25" t="s">
        <v>45</v>
      </c>
      <c r="B34" s="16">
        <v>0</v>
      </c>
    </row>
    <row r="35" spans="1:2" x14ac:dyDescent="0.25">
      <c r="A35" s="25" t="s">
        <v>46</v>
      </c>
      <c r="B35" s="16">
        <v>0</v>
      </c>
    </row>
    <row r="36" spans="1:2" x14ac:dyDescent="0.25">
      <c r="A36" s="25" t="s">
        <v>47</v>
      </c>
      <c r="B36" s="16">
        <v>0</v>
      </c>
    </row>
    <row r="37" spans="1:2" x14ac:dyDescent="0.25">
      <c r="A37" s="25" t="s">
        <v>48</v>
      </c>
      <c r="B37" s="16">
        <v>2</v>
      </c>
    </row>
    <row r="38" spans="1:2" x14ac:dyDescent="0.25">
      <c r="A38" s="25" t="s">
        <v>49</v>
      </c>
      <c r="B38" s="16">
        <v>32</v>
      </c>
    </row>
    <row r="39" spans="1:2" x14ac:dyDescent="0.25">
      <c r="A39" s="25" t="s">
        <v>50</v>
      </c>
      <c r="B39" s="16">
        <v>0</v>
      </c>
    </row>
    <row r="40" spans="1:2" x14ac:dyDescent="0.25">
      <c r="A40" s="25" t="s">
        <v>51</v>
      </c>
      <c r="B40" s="16">
        <v>0</v>
      </c>
    </row>
    <row r="41" spans="1:2" x14ac:dyDescent="0.25">
      <c r="A41" s="25" t="s">
        <v>52</v>
      </c>
      <c r="B41" s="16">
        <v>0</v>
      </c>
    </row>
    <row r="42" spans="1:2" x14ac:dyDescent="0.25">
      <c r="A42" s="25" t="s">
        <v>53</v>
      </c>
      <c r="B42" s="16">
        <v>0</v>
      </c>
    </row>
    <row r="43" spans="1:2" x14ac:dyDescent="0.25">
      <c r="A43" s="25" t="s">
        <v>54</v>
      </c>
    </row>
    <row r="44" spans="1:2" x14ac:dyDescent="0.25">
      <c r="A44" s="25" t="s">
        <v>55</v>
      </c>
      <c r="B44" s="16">
        <v>0</v>
      </c>
    </row>
    <row r="45" spans="1:2" x14ac:dyDescent="0.25">
      <c r="A45" s="25" t="s">
        <v>56</v>
      </c>
      <c r="B45" s="16">
        <v>0</v>
      </c>
    </row>
    <row r="46" spans="1:2" x14ac:dyDescent="0.25">
      <c r="A46" s="25" t="s">
        <v>57</v>
      </c>
      <c r="B46" s="16">
        <v>0</v>
      </c>
    </row>
    <row r="47" spans="1:2" x14ac:dyDescent="0.25">
      <c r="A47" s="25" t="s">
        <v>58</v>
      </c>
      <c r="B47" s="16">
        <v>0</v>
      </c>
    </row>
    <row r="48" spans="1:2" x14ac:dyDescent="0.25">
      <c r="A48" s="25" t="s">
        <v>59</v>
      </c>
      <c r="B48" s="16">
        <v>0</v>
      </c>
    </row>
    <row r="49" spans="1:32" x14ac:dyDescent="0.25">
      <c r="A49" s="25" t="s">
        <v>60</v>
      </c>
      <c r="B49" s="16">
        <v>0</v>
      </c>
    </row>
    <row r="50" spans="1:32" x14ac:dyDescent="0.25">
      <c r="A50" s="25" t="s">
        <v>61</v>
      </c>
      <c r="B50" s="16">
        <v>41</v>
      </c>
    </row>
    <row r="51" spans="1:32" x14ac:dyDescent="0.25">
      <c r="A51" s="25" t="s">
        <v>62</v>
      </c>
      <c r="B51" s="16">
        <v>0</v>
      </c>
    </row>
    <row r="52" spans="1:32" x14ac:dyDescent="0.25">
      <c r="A52" s="25" t="s">
        <v>63</v>
      </c>
      <c r="B52" s="16">
        <v>0</v>
      </c>
    </row>
    <row r="53" spans="1:32" x14ac:dyDescent="0.25">
      <c r="A53" s="25" t="s">
        <v>64</v>
      </c>
      <c r="B53" s="16">
        <v>0</v>
      </c>
    </row>
    <row r="54" spans="1:32" x14ac:dyDescent="0.25">
      <c r="A54" s="25" t="s">
        <v>65</v>
      </c>
      <c r="B54" s="16">
        <v>0</v>
      </c>
    </row>
    <row r="55" spans="1:32" x14ac:dyDescent="0.25">
      <c r="A55" s="25" t="s">
        <v>71</v>
      </c>
      <c r="B55" s="16">
        <v>59</v>
      </c>
    </row>
    <row r="57" spans="1:32" x14ac:dyDescent="0.25">
      <c r="A57" s="25" t="s">
        <v>74</v>
      </c>
      <c r="B57" s="16">
        <f>SUM(B2:B55)</f>
        <v>666.1</v>
      </c>
      <c r="C57" s="16">
        <f t="shared" ref="C57:AF57" si="0">SUM(C2:C55)</f>
        <v>0</v>
      </c>
      <c r="D57" s="16">
        <f t="shared" si="0"/>
        <v>0</v>
      </c>
      <c r="E57" s="16">
        <f t="shared" si="0"/>
        <v>0</v>
      </c>
      <c r="F57" s="16">
        <f t="shared" si="0"/>
        <v>0</v>
      </c>
      <c r="G57" s="16">
        <f t="shared" si="0"/>
        <v>0</v>
      </c>
      <c r="H57" s="16">
        <f t="shared" si="0"/>
        <v>0</v>
      </c>
      <c r="I57" s="16">
        <f t="shared" si="0"/>
        <v>0</v>
      </c>
      <c r="J57" s="16">
        <f t="shared" si="0"/>
        <v>0</v>
      </c>
      <c r="K57" s="16">
        <f t="shared" si="0"/>
        <v>0</v>
      </c>
      <c r="L57" s="16">
        <f t="shared" si="0"/>
        <v>0</v>
      </c>
      <c r="M57" s="16">
        <f t="shared" si="0"/>
        <v>0</v>
      </c>
      <c r="N57" s="16">
        <f t="shared" si="0"/>
        <v>0</v>
      </c>
      <c r="O57" s="16">
        <f t="shared" si="0"/>
        <v>0</v>
      </c>
      <c r="P57" s="16">
        <f t="shared" si="0"/>
        <v>0</v>
      </c>
      <c r="Q57" s="16">
        <f t="shared" si="0"/>
        <v>0</v>
      </c>
      <c r="R57" s="16">
        <f t="shared" si="0"/>
        <v>0</v>
      </c>
      <c r="S57" s="16">
        <f t="shared" si="0"/>
        <v>0</v>
      </c>
      <c r="T57" s="16">
        <f t="shared" si="0"/>
        <v>0</v>
      </c>
      <c r="U57" s="16">
        <f t="shared" si="0"/>
        <v>0</v>
      </c>
      <c r="V57" s="16">
        <f t="shared" si="0"/>
        <v>0</v>
      </c>
      <c r="W57" s="16">
        <f t="shared" si="0"/>
        <v>0</v>
      </c>
      <c r="X57" s="16">
        <f t="shared" si="0"/>
        <v>0</v>
      </c>
      <c r="Y57" s="16">
        <f t="shared" si="0"/>
        <v>0</v>
      </c>
      <c r="Z57" s="16">
        <f t="shared" si="0"/>
        <v>0</v>
      </c>
      <c r="AA57" s="16">
        <f t="shared" si="0"/>
        <v>0</v>
      </c>
      <c r="AB57" s="16">
        <f t="shared" si="0"/>
        <v>0</v>
      </c>
      <c r="AC57" s="16">
        <f t="shared" si="0"/>
        <v>0</v>
      </c>
      <c r="AD57" s="16">
        <f t="shared" si="0"/>
        <v>0</v>
      </c>
      <c r="AE57" s="16">
        <f t="shared" si="0"/>
        <v>0</v>
      </c>
      <c r="AF57" s="16">
        <f t="shared" si="0"/>
        <v>0</v>
      </c>
    </row>
    <row r="59" spans="1:32" x14ac:dyDescent="0.25">
      <c r="A59" s="25" t="s">
        <v>75</v>
      </c>
      <c r="B59" s="16">
        <f>SUM(A57:AF57)</f>
        <v>666.1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D944B-24D5-47CB-8E5A-0894B2237A94}">
  <dimension ref="A1:BC59"/>
  <sheetViews>
    <sheetView zoomScale="85" zoomScaleNormal="85" workbookViewId="0">
      <pane xSplit="1" topLeftCell="B1" activePane="topRight" state="frozen"/>
      <selection pane="topRight" activeCell="D21" sqref="D21"/>
    </sheetView>
  </sheetViews>
  <sheetFormatPr defaultRowHeight="15" x14ac:dyDescent="0.25"/>
  <cols>
    <col min="1" max="1" width="12.85546875" style="5" customWidth="1"/>
  </cols>
  <sheetData>
    <row r="1" spans="1:55" s="5" customFormat="1" x14ac:dyDescent="0.25">
      <c r="A1" s="5" t="s">
        <v>73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>
        <v>9</v>
      </c>
      <c r="K1" s="5">
        <v>10</v>
      </c>
      <c r="L1" s="5">
        <v>11</v>
      </c>
      <c r="M1" s="5">
        <v>12</v>
      </c>
      <c r="N1" s="5">
        <v>13</v>
      </c>
      <c r="O1" s="5">
        <v>14</v>
      </c>
      <c r="P1" s="5">
        <v>15</v>
      </c>
      <c r="Q1" s="5">
        <v>16</v>
      </c>
      <c r="R1" s="5">
        <v>17</v>
      </c>
      <c r="S1" s="5">
        <v>18</v>
      </c>
      <c r="T1" s="5">
        <v>19</v>
      </c>
      <c r="U1" s="5">
        <v>20</v>
      </c>
      <c r="V1" s="5">
        <v>21</v>
      </c>
      <c r="W1" s="5">
        <v>22</v>
      </c>
      <c r="X1" s="5">
        <v>23</v>
      </c>
      <c r="Y1" s="5">
        <v>24</v>
      </c>
      <c r="Z1" s="5">
        <v>25</v>
      </c>
      <c r="AA1" s="5">
        <v>26</v>
      </c>
      <c r="AB1" s="5">
        <v>27</v>
      </c>
      <c r="AC1" s="5">
        <v>28</v>
      </c>
      <c r="AD1" s="5">
        <v>29</v>
      </c>
      <c r="AE1" s="5">
        <v>30</v>
      </c>
      <c r="AF1" s="5">
        <v>31</v>
      </c>
    </row>
    <row r="2" spans="1:55" x14ac:dyDescent="0.25">
      <c r="A2" s="5" t="s">
        <v>9</v>
      </c>
      <c r="B2" s="17">
        <v>66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</row>
    <row r="3" spans="1:55" x14ac:dyDescent="0.25">
      <c r="A3" s="5" t="s">
        <v>11</v>
      </c>
      <c r="B3" s="17">
        <v>0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6"/>
      <c r="AH3" s="16"/>
      <c r="AI3" s="16"/>
      <c r="AJ3" s="16"/>
      <c r="AK3" s="16"/>
      <c r="AL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</row>
    <row r="4" spans="1:55" x14ac:dyDescent="0.25">
      <c r="A4" s="5" t="s">
        <v>13</v>
      </c>
      <c r="B4" s="17">
        <v>30</v>
      </c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</row>
    <row r="5" spans="1:55" x14ac:dyDescent="0.25">
      <c r="A5" s="5" t="s">
        <v>14</v>
      </c>
      <c r="B5" s="17">
        <v>68</v>
      </c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</row>
    <row r="6" spans="1:55" x14ac:dyDescent="0.25">
      <c r="A6" s="5" t="s">
        <v>16</v>
      </c>
      <c r="B6" s="17">
        <v>61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</row>
    <row r="7" spans="1:55" x14ac:dyDescent="0.25">
      <c r="A7" s="5" t="s">
        <v>17</v>
      </c>
      <c r="B7" s="17">
        <v>0</v>
      </c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</row>
    <row r="8" spans="1:55" x14ac:dyDescent="0.25">
      <c r="A8" s="5" t="s">
        <v>19</v>
      </c>
      <c r="B8">
        <v>38</v>
      </c>
    </row>
    <row r="9" spans="1:55" x14ac:dyDescent="0.25">
      <c r="A9" s="5" t="s">
        <v>20</v>
      </c>
      <c r="B9" s="17">
        <v>46</v>
      </c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</row>
    <row r="10" spans="1:55" x14ac:dyDescent="0.25">
      <c r="A10" s="5" t="s">
        <v>21</v>
      </c>
      <c r="B10" s="17">
        <v>147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</row>
    <row r="11" spans="1:55" x14ac:dyDescent="0.25">
      <c r="A11" s="5" t="s">
        <v>22</v>
      </c>
      <c r="B11" s="17">
        <v>30</v>
      </c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</row>
    <row r="12" spans="1:55" x14ac:dyDescent="0.25">
      <c r="A12" s="5" t="s">
        <v>23</v>
      </c>
      <c r="B12" s="17">
        <v>102</v>
      </c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</row>
    <row r="13" spans="1:55" x14ac:dyDescent="0.25">
      <c r="A13" s="5" t="s">
        <v>24</v>
      </c>
      <c r="B13" s="17">
        <v>54</v>
      </c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</row>
    <row r="14" spans="1:55" x14ac:dyDescent="0.25">
      <c r="A14" s="5" t="s">
        <v>25</v>
      </c>
      <c r="B14" s="17">
        <v>172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</row>
    <row r="15" spans="1:55" x14ac:dyDescent="0.25">
      <c r="A15" s="5" t="s">
        <v>26</v>
      </c>
      <c r="B15" s="17">
        <v>50</v>
      </c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</row>
    <row r="16" spans="1:55" x14ac:dyDescent="0.25">
      <c r="A16" s="5" t="s">
        <v>27</v>
      </c>
      <c r="B16">
        <v>58</v>
      </c>
    </row>
    <row r="17" spans="1:32" x14ac:dyDescent="0.25">
      <c r="A17" s="5" t="s">
        <v>28</v>
      </c>
      <c r="B17">
        <v>104</v>
      </c>
    </row>
    <row r="18" spans="1:32" x14ac:dyDescent="0.25">
      <c r="A18" s="5" t="s">
        <v>29</v>
      </c>
      <c r="B18" s="17">
        <v>0</v>
      </c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</row>
    <row r="19" spans="1:32" x14ac:dyDescent="0.25">
      <c r="A19" s="5" t="s">
        <v>30</v>
      </c>
      <c r="B19" s="17">
        <v>51</v>
      </c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</row>
    <row r="20" spans="1:32" x14ac:dyDescent="0.25">
      <c r="A20" s="5" t="s">
        <v>31</v>
      </c>
      <c r="B20" s="17">
        <v>45</v>
      </c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</row>
    <row r="21" spans="1:32" x14ac:dyDescent="0.25">
      <c r="A21" s="5" t="s">
        <v>32</v>
      </c>
      <c r="B21" s="17">
        <v>55</v>
      </c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</row>
    <row r="22" spans="1:32" x14ac:dyDescent="0.25">
      <c r="A22" s="5" t="s">
        <v>33</v>
      </c>
      <c r="B22">
        <v>95</v>
      </c>
    </row>
    <row r="23" spans="1:32" x14ac:dyDescent="0.25">
      <c r="A23" s="5" t="s">
        <v>34</v>
      </c>
      <c r="B23" s="17">
        <v>0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</row>
    <row r="24" spans="1:32" x14ac:dyDescent="0.25">
      <c r="A24" s="5" t="s">
        <v>35</v>
      </c>
      <c r="B24">
        <v>56</v>
      </c>
    </row>
    <row r="25" spans="1:32" x14ac:dyDescent="0.25">
      <c r="A25" s="5" t="s">
        <v>36</v>
      </c>
      <c r="B25" s="17">
        <v>50</v>
      </c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</row>
    <row r="26" spans="1:32" x14ac:dyDescent="0.25">
      <c r="A26" s="5" t="s">
        <v>37</v>
      </c>
      <c r="B26" s="39">
        <v>63.05</v>
      </c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</row>
    <row r="27" spans="1:32" x14ac:dyDescent="0.25">
      <c r="A27" s="5" t="s">
        <v>38</v>
      </c>
      <c r="B27" s="39">
        <v>107.96</v>
      </c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</row>
    <row r="28" spans="1:32" x14ac:dyDescent="0.25">
      <c r="A28" s="5" t="s">
        <v>39</v>
      </c>
      <c r="B28" s="17">
        <v>0</v>
      </c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</row>
    <row r="29" spans="1:32" x14ac:dyDescent="0.25">
      <c r="A29" s="5" t="s">
        <v>40</v>
      </c>
      <c r="B29" s="39">
        <v>48.91</v>
      </c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</row>
    <row r="30" spans="1:32" x14ac:dyDescent="0.25">
      <c r="A30" s="5" t="s">
        <v>41</v>
      </c>
      <c r="B30" s="17">
        <v>29</v>
      </c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</row>
    <row r="31" spans="1:32" x14ac:dyDescent="0.25">
      <c r="A31" s="5" t="s">
        <v>42</v>
      </c>
      <c r="B31" s="17">
        <v>92</v>
      </c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</row>
    <row r="32" spans="1:32" x14ac:dyDescent="0.25">
      <c r="A32" s="5" t="s">
        <v>43</v>
      </c>
      <c r="B32" s="17">
        <v>0</v>
      </c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</row>
    <row r="33" spans="1:32" x14ac:dyDescent="0.25">
      <c r="A33" s="5" t="s">
        <v>44</v>
      </c>
      <c r="B33" s="17">
        <v>0</v>
      </c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</row>
    <row r="34" spans="1:32" x14ac:dyDescent="0.25">
      <c r="A34" s="5" t="s">
        <v>45</v>
      </c>
      <c r="B34" s="39">
        <v>89.19</v>
      </c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</row>
    <row r="35" spans="1:32" x14ac:dyDescent="0.25">
      <c r="A35" s="5" t="s">
        <v>46</v>
      </c>
      <c r="B35" s="39">
        <v>35.54</v>
      </c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</row>
    <row r="36" spans="1:32" x14ac:dyDescent="0.25">
      <c r="A36" s="5" t="s">
        <v>47</v>
      </c>
      <c r="B36" s="17">
        <v>0</v>
      </c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</row>
    <row r="37" spans="1:32" x14ac:dyDescent="0.25">
      <c r="A37" s="5" t="s">
        <v>48</v>
      </c>
      <c r="B37" s="17">
        <v>0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</row>
    <row r="38" spans="1:32" x14ac:dyDescent="0.25">
      <c r="A38" s="5" t="s">
        <v>49</v>
      </c>
      <c r="B38">
        <v>60</v>
      </c>
    </row>
    <row r="39" spans="1:32" x14ac:dyDescent="0.25">
      <c r="A39" s="5" t="s">
        <v>50</v>
      </c>
      <c r="B39" s="17">
        <v>0</v>
      </c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</row>
    <row r="40" spans="1:32" x14ac:dyDescent="0.25">
      <c r="A40" s="5" t="s">
        <v>51</v>
      </c>
      <c r="B40" s="17">
        <v>0</v>
      </c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</row>
    <row r="41" spans="1:32" x14ac:dyDescent="0.25">
      <c r="A41" s="5" t="s">
        <v>52</v>
      </c>
      <c r="B41" s="17">
        <v>40</v>
      </c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</row>
    <row r="42" spans="1:32" x14ac:dyDescent="0.25">
      <c r="A42" s="5" t="s">
        <v>53</v>
      </c>
      <c r="B42" s="17">
        <v>0</v>
      </c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</row>
    <row r="43" spans="1:32" x14ac:dyDescent="0.25">
      <c r="A43" s="5" t="s">
        <v>54</v>
      </c>
      <c r="B43" s="17">
        <v>70</v>
      </c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</row>
    <row r="44" spans="1:32" x14ac:dyDescent="0.25">
      <c r="A44" s="5" t="s">
        <v>55</v>
      </c>
      <c r="B44" s="17">
        <v>0</v>
      </c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</row>
    <row r="45" spans="1:32" x14ac:dyDescent="0.25">
      <c r="A45" s="5" t="s">
        <v>56</v>
      </c>
      <c r="B45" s="17">
        <v>0</v>
      </c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</row>
    <row r="46" spans="1:32" x14ac:dyDescent="0.25">
      <c r="A46" s="5" t="s">
        <v>57</v>
      </c>
      <c r="B46" s="17">
        <v>80</v>
      </c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</row>
    <row r="47" spans="1:32" x14ac:dyDescent="0.25">
      <c r="A47" s="5" t="s">
        <v>58</v>
      </c>
      <c r="B47" s="17">
        <v>0</v>
      </c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</row>
    <row r="48" spans="1:32" x14ac:dyDescent="0.25">
      <c r="A48" s="5" t="s">
        <v>59</v>
      </c>
      <c r="B48" s="17">
        <v>170</v>
      </c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</row>
    <row r="49" spans="1:32" x14ac:dyDescent="0.25">
      <c r="A49" s="5" t="s">
        <v>60</v>
      </c>
      <c r="B49" s="17">
        <v>30</v>
      </c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</row>
    <row r="50" spans="1:32" x14ac:dyDescent="0.25">
      <c r="A50" s="5" t="s">
        <v>61</v>
      </c>
      <c r="B50">
        <v>225</v>
      </c>
    </row>
    <row r="51" spans="1:32" x14ac:dyDescent="0.25">
      <c r="A51" s="5" t="s">
        <v>62</v>
      </c>
      <c r="B51" s="17">
        <v>53</v>
      </c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</row>
    <row r="52" spans="1:32" x14ac:dyDescent="0.25">
      <c r="A52" s="5" t="s">
        <v>63</v>
      </c>
      <c r="B52" s="17">
        <v>0</v>
      </c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</row>
    <row r="53" spans="1:32" x14ac:dyDescent="0.25">
      <c r="A53" s="5" t="s">
        <v>64</v>
      </c>
      <c r="B53" s="17">
        <v>0</v>
      </c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</row>
    <row r="54" spans="1:32" x14ac:dyDescent="0.25">
      <c r="A54" s="5" t="s">
        <v>65</v>
      </c>
      <c r="B54" s="17">
        <v>0</v>
      </c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</row>
    <row r="55" spans="1:32" x14ac:dyDescent="0.25">
      <c r="A55" s="5" t="s">
        <v>71</v>
      </c>
      <c r="B55">
        <v>61</v>
      </c>
    </row>
    <row r="57" spans="1:32" x14ac:dyDescent="0.25">
      <c r="A57" s="5" t="s">
        <v>74</v>
      </c>
      <c r="B57" s="16">
        <f>SUM(B2:B55)</f>
        <v>2632.65</v>
      </c>
      <c r="C57" s="16">
        <f t="shared" ref="C57:AF57" si="0">SUM(C2:C55)</f>
        <v>0</v>
      </c>
      <c r="D57" s="16">
        <f t="shared" si="0"/>
        <v>0</v>
      </c>
      <c r="E57" s="16">
        <f t="shared" si="0"/>
        <v>0</v>
      </c>
      <c r="F57" s="16">
        <f t="shared" si="0"/>
        <v>0</v>
      </c>
      <c r="G57" s="16">
        <f t="shared" si="0"/>
        <v>0</v>
      </c>
      <c r="H57" s="16">
        <f t="shared" si="0"/>
        <v>0</v>
      </c>
      <c r="I57" s="16">
        <f t="shared" si="0"/>
        <v>0</v>
      </c>
      <c r="J57" s="16">
        <f t="shared" si="0"/>
        <v>0</v>
      </c>
      <c r="K57" s="16">
        <f t="shared" si="0"/>
        <v>0</v>
      </c>
      <c r="L57" s="16">
        <f t="shared" si="0"/>
        <v>0</v>
      </c>
      <c r="M57" s="16">
        <f t="shared" si="0"/>
        <v>0</v>
      </c>
      <c r="N57" s="16">
        <f t="shared" si="0"/>
        <v>0</v>
      </c>
      <c r="O57" s="16">
        <f t="shared" si="0"/>
        <v>0</v>
      </c>
      <c r="P57" s="16">
        <f t="shared" si="0"/>
        <v>0</v>
      </c>
      <c r="Q57" s="16">
        <f t="shared" si="0"/>
        <v>0</v>
      </c>
      <c r="R57" s="16">
        <f t="shared" si="0"/>
        <v>0</v>
      </c>
      <c r="S57" s="16">
        <f t="shared" si="0"/>
        <v>0</v>
      </c>
      <c r="T57" s="16">
        <f t="shared" si="0"/>
        <v>0</v>
      </c>
      <c r="U57" s="16">
        <f t="shared" si="0"/>
        <v>0</v>
      </c>
      <c r="V57" s="16">
        <f t="shared" si="0"/>
        <v>0</v>
      </c>
      <c r="W57" s="16">
        <f t="shared" si="0"/>
        <v>0</v>
      </c>
      <c r="X57" s="16">
        <f t="shared" si="0"/>
        <v>0</v>
      </c>
      <c r="Y57" s="16">
        <f t="shared" si="0"/>
        <v>0</v>
      </c>
      <c r="Z57" s="16">
        <f t="shared" si="0"/>
        <v>0</v>
      </c>
      <c r="AA57" s="16">
        <f t="shared" si="0"/>
        <v>0</v>
      </c>
      <c r="AB57" s="16">
        <f t="shared" si="0"/>
        <v>0</v>
      </c>
      <c r="AC57" s="16">
        <f t="shared" si="0"/>
        <v>0</v>
      </c>
      <c r="AD57" s="16">
        <f t="shared" si="0"/>
        <v>0</v>
      </c>
      <c r="AE57" s="16">
        <f t="shared" si="0"/>
        <v>0</v>
      </c>
      <c r="AF57" s="16">
        <f t="shared" si="0"/>
        <v>0</v>
      </c>
    </row>
    <row r="59" spans="1:32" x14ac:dyDescent="0.25">
      <c r="A59" s="5" t="s">
        <v>75</v>
      </c>
      <c r="B59">
        <f>SUM(A57:AF57)</f>
        <v>2632.65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Production By Date</vt:lpstr>
      <vt:lpstr>Consumption By Date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Kevin Harris</dc:creator>
  <cp:keywords/>
  <dc:description/>
  <cp:lastModifiedBy>Kevin Harris</cp:lastModifiedBy>
  <cp:revision/>
  <dcterms:created xsi:type="dcterms:W3CDTF">2025-10-23T11:40:10Z</dcterms:created>
  <dcterms:modified xsi:type="dcterms:W3CDTF">2026-06-01T09:13:12Z</dcterms:modified>
  <cp:category/>
  <cp:contentStatus/>
</cp:coreProperties>
</file>
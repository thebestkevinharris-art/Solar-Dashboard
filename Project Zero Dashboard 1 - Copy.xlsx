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MT NUC 3\Desktop\Solar Dashboard Scripts\"/>
    </mc:Choice>
  </mc:AlternateContent>
  <xr:revisionPtr revIDLastSave="0" documentId="13_ncr:1_{D4D5502A-2042-4CBD-88BA-72A7314AC4DB}" xr6:coauthVersionLast="47" xr6:coauthVersionMax="47" xr10:uidLastSave="{00000000-0000-0000-0000-000000000000}"/>
  <bookViews>
    <workbookView xWindow="-120" yWindow="-120" windowWidth="29040" windowHeight="15720" xr2:uid="{850AF22D-85D1-4C73-981E-24580D680358}"/>
  </bookViews>
  <sheets>
    <sheet name="Dashboard" sheetId="1" r:id="rId1"/>
    <sheet name="Production By Date" sheetId="2" r:id="rId2"/>
    <sheet name="Consumption By Date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1" i="1" l="1"/>
  <c r="AH12" i="1"/>
  <c r="AH13" i="1"/>
  <c r="AH14" i="1"/>
  <c r="AH15" i="1"/>
  <c r="AH16" i="1"/>
  <c r="AH17" i="1"/>
  <c r="C57" i="2"/>
  <c r="AH10" i="1"/>
  <c r="AH6" i="1"/>
  <c r="P7" i="1"/>
  <c r="AH7" i="1"/>
  <c r="AH8" i="1"/>
  <c r="AH9" i="1"/>
  <c r="AC6" i="1"/>
  <c r="B57" i="2"/>
  <c r="AP19" i="1"/>
  <c r="AK104" i="1"/>
  <c r="AK103" i="1"/>
  <c r="AK102" i="1"/>
  <c r="AK101" i="1"/>
  <c r="AK100" i="1"/>
  <c r="AK99" i="1"/>
  <c r="AK98" i="1"/>
  <c r="AK97" i="1"/>
  <c r="AK96" i="1"/>
  <c r="AK95" i="1"/>
  <c r="AK94" i="1"/>
  <c r="AK93" i="1"/>
  <c r="AK92" i="1"/>
  <c r="AK91" i="1"/>
  <c r="AK90" i="1"/>
  <c r="AK89" i="1"/>
  <c r="AK88" i="1"/>
  <c r="AK87" i="1"/>
  <c r="AK86" i="1"/>
  <c r="AK85" i="1"/>
  <c r="AK84" i="1"/>
  <c r="AK83" i="1"/>
  <c r="AK82" i="1"/>
  <c r="AK81" i="1"/>
  <c r="AK80" i="1"/>
  <c r="AK79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J6" i="1"/>
  <c r="AJ7" i="1" s="1"/>
  <c r="AJ8" i="1" s="1"/>
  <c r="AK5" i="1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AF57" i="2"/>
  <c r="Y12" i="1"/>
  <c r="AC12" i="1" s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9" i="1"/>
  <c r="P8" i="1"/>
  <c r="P5" i="1"/>
  <c r="AC58" i="1"/>
  <c r="AC7" i="1"/>
  <c r="AC8" i="1"/>
  <c r="AC9" i="1"/>
  <c r="AC10" i="1"/>
  <c r="AC11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53" i="1"/>
  <c r="AC54" i="1"/>
  <c r="AC55" i="1"/>
  <c r="AC56" i="1"/>
  <c r="AC57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5" i="1"/>
  <c r="AO6" i="1"/>
  <c r="AO7" i="1" s="1"/>
  <c r="AO8" i="1" s="1"/>
  <c r="AO9" i="1" s="1"/>
  <c r="AO10" i="1" s="1"/>
  <c r="AO11" i="1" s="1"/>
  <c r="AO12" i="1" s="1"/>
  <c r="AO13" i="1" s="1"/>
  <c r="AO14" i="1" s="1"/>
  <c r="AO15" i="1" s="1"/>
  <c r="AO16" i="1" s="1"/>
  <c r="AO17" i="1" s="1"/>
  <c r="AO18" i="1" s="1"/>
  <c r="AO19" i="1" s="1"/>
  <c r="AO20" i="1" s="1"/>
  <c r="AO21" i="1" s="1"/>
  <c r="AO22" i="1" s="1"/>
  <c r="AO23" i="1" s="1"/>
  <c r="AO24" i="1" s="1"/>
  <c r="AO25" i="1" s="1"/>
  <c r="AO26" i="1" s="1"/>
  <c r="AO27" i="1" s="1"/>
  <c r="AO28" i="1" s="1"/>
  <c r="AO29" i="1" s="1"/>
  <c r="AO30" i="1" s="1"/>
  <c r="AO31" i="1" s="1"/>
  <c r="AO32" i="1" s="1"/>
  <c r="AO33" i="1" s="1"/>
  <c r="AO34" i="1" s="1"/>
  <c r="AO35" i="1" s="1"/>
  <c r="AO36" i="1" s="1"/>
  <c r="AO37" i="1" s="1"/>
  <c r="AO38" i="1" s="1"/>
  <c r="AO39" i="1" s="1"/>
  <c r="AO40" i="1" s="1"/>
  <c r="AO41" i="1" s="1"/>
  <c r="AO42" i="1" s="1"/>
  <c r="AO43" i="1" s="1"/>
  <c r="AO44" i="1" s="1"/>
  <c r="AO45" i="1" s="1"/>
  <c r="AO46" i="1" s="1"/>
  <c r="AO47" i="1" s="1"/>
  <c r="AO48" i="1" s="1"/>
  <c r="AO49" i="1" s="1"/>
  <c r="AO50" i="1" s="1"/>
  <c r="AO51" i="1" s="1"/>
  <c r="AO52" i="1" s="1"/>
  <c r="AO53" i="1" s="1"/>
  <c r="AO54" i="1" s="1"/>
  <c r="AO55" i="1" s="1"/>
  <c r="AO56" i="1" s="1"/>
  <c r="AO57" i="1" s="1"/>
  <c r="AO58" i="1" s="1"/>
  <c r="AO59" i="1" s="1"/>
  <c r="AO60" i="1" s="1"/>
  <c r="AO61" i="1" s="1"/>
  <c r="AO62" i="1" s="1"/>
  <c r="AO63" i="1" s="1"/>
  <c r="AO64" i="1" s="1"/>
  <c r="AO65" i="1" s="1"/>
  <c r="AO66" i="1" s="1"/>
  <c r="AO67" i="1" s="1"/>
  <c r="AO68" i="1" s="1"/>
  <c r="AO69" i="1" s="1"/>
  <c r="AO70" i="1" s="1"/>
  <c r="AO71" i="1" s="1"/>
  <c r="AO72" i="1" s="1"/>
  <c r="AO73" i="1" s="1"/>
  <c r="AO74" i="1" s="1"/>
  <c r="AO75" i="1" s="1"/>
  <c r="AO76" i="1" s="1"/>
  <c r="AO77" i="1" s="1"/>
  <c r="AO78" i="1" s="1"/>
  <c r="AO79" i="1" s="1"/>
  <c r="AO80" i="1" s="1"/>
  <c r="AO81" i="1" s="1"/>
  <c r="AO82" i="1" s="1"/>
  <c r="AO83" i="1" s="1"/>
  <c r="AO84" i="1" s="1"/>
  <c r="AO85" i="1" s="1"/>
  <c r="AO86" i="1" s="1"/>
  <c r="AO87" i="1" s="1"/>
  <c r="AO88" i="1" s="1"/>
  <c r="AO89" i="1" s="1"/>
  <c r="AO90" i="1" s="1"/>
  <c r="AO91" i="1" s="1"/>
  <c r="AO92" i="1" s="1"/>
  <c r="AO93" i="1" s="1"/>
  <c r="AO94" i="1" s="1"/>
  <c r="AO95" i="1" s="1"/>
  <c r="AO96" i="1" s="1"/>
  <c r="AO97" i="1" s="1"/>
  <c r="AO98" i="1" s="1"/>
  <c r="AO99" i="1" s="1"/>
  <c r="AO100" i="1" s="1"/>
  <c r="AO101" i="1" s="1"/>
  <c r="AO102" i="1" s="1"/>
  <c r="AO103" i="1" s="1"/>
  <c r="AO104" i="1" s="1"/>
  <c r="AO105" i="1" s="1"/>
  <c r="P9" i="1" l="1"/>
  <c r="Q17" i="1" s="1"/>
  <c r="Q13" i="1" s="1"/>
  <c r="B59" i="4"/>
  <c r="P25" i="1" s="1"/>
  <c r="P26" i="1" s="1"/>
  <c r="B59" i="2"/>
  <c r="P23" i="1" s="1"/>
  <c r="P24" i="1" s="1"/>
  <c r="AJ9" i="1"/>
  <c r="P4" i="1"/>
  <c r="P6" i="1" s="1"/>
  <c r="Q15" i="1" l="1"/>
  <c r="Q11" i="1" s="1"/>
  <c r="P27" i="1"/>
  <c r="Q34" i="1"/>
  <c r="Q30" i="1" s="1"/>
  <c r="AJ10" i="1"/>
  <c r="AR105" i="1"/>
  <c r="AR13" i="1"/>
  <c r="AR21" i="1"/>
  <c r="AR29" i="1"/>
  <c r="AR37" i="1"/>
  <c r="AR45" i="1"/>
  <c r="AR53" i="1"/>
  <c r="AR61" i="1"/>
  <c r="AR69" i="1"/>
  <c r="AR77" i="1"/>
  <c r="AR85" i="1"/>
  <c r="AR93" i="1"/>
  <c r="AR101" i="1"/>
  <c r="AR95" i="1"/>
  <c r="AR6" i="1"/>
  <c r="AR14" i="1"/>
  <c r="AR22" i="1"/>
  <c r="AR30" i="1"/>
  <c r="AR38" i="1"/>
  <c r="AR46" i="1"/>
  <c r="AR54" i="1"/>
  <c r="AR62" i="1"/>
  <c r="AR70" i="1"/>
  <c r="AR78" i="1"/>
  <c r="AR86" i="1"/>
  <c r="AR94" i="1"/>
  <c r="AR102" i="1"/>
  <c r="AR15" i="1"/>
  <c r="AR23" i="1"/>
  <c r="AR31" i="1"/>
  <c r="AR39" i="1"/>
  <c r="AR47" i="1"/>
  <c r="AR71" i="1"/>
  <c r="AR87" i="1"/>
  <c r="AR103" i="1"/>
  <c r="AR7" i="1"/>
  <c r="AR8" i="1"/>
  <c r="AR16" i="1"/>
  <c r="AR24" i="1"/>
  <c r="AR32" i="1"/>
  <c r="AR40" i="1"/>
  <c r="AR48" i="1"/>
  <c r="AR56" i="1"/>
  <c r="AR64" i="1"/>
  <c r="AR72" i="1"/>
  <c r="AR80" i="1"/>
  <c r="AR88" i="1"/>
  <c r="AR96" i="1"/>
  <c r="AR104" i="1"/>
  <c r="AR55" i="1"/>
  <c r="AR9" i="1"/>
  <c r="AR17" i="1"/>
  <c r="AR25" i="1"/>
  <c r="AR33" i="1"/>
  <c r="AR41" i="1"/>
  <c r="AR49" i="1"/>
  <c r="AR57" i="1"/>
  <c r="AR65" i="1"/>
  <c r="AR73" i="1"/>
  <c r="AR81" i="1"/>
  <c r="AR89" i="1"/>
  <c r="AR97" i="1"/>
  <c r="AR5" i="1"/>
  <c r="AR10" i="1"/>
  <c r="AR18" i="1"/>
  <c r="AR26" i="1"/>
  <c r="AR34" i="1"/>
  <c r="AR42" i="1"/>
  <c r="AR50" i="1"/>
  <c r="AR58" i="1"/>
  <c r="AR66" i="1"/>
  <c r="AR74" i="1"/>
  <c r="AR82" i="1"/>
  <c r="AR90" i="1"/>
  <c r="AR98" i="1"/>
  <c r="AR63" i="1"/>
  <c r="AR11" i="1"/>
  <c r="AR19" i="1"/>
  <c r="AR27" i="1"/>
  <c r="AR35" i="1"/>
  <c r="AR43" i="1"/>
  <c r="AR51" i="1"/>
  <c r="AR59" i="1"/>
  <c r="AR67" i="1"/>
  <c r="AR75" i="1"/>
  <c r="AR83" i="1"/>
  <c r="AR91" i="1"/>
  <c r="AR99" i="1"/>
  <c r="AR12" i="1"/>
  <c r="AR20" i="1"/>
  <c r="AR28" i="1"/>
  <c r="AR36" i="1"/>
  <c r="AR44" i="1"/>
  <c r="AR52" i="1"/>
  <c r="AR60" i="1"/>
  <c r="AR68" i="1"/>
  <c r="AR76" i="1"/>
  <c r="AR84" i="1"/>
  <c r="AR92" i="1"/>
  <c r="AR100" i="1"/>
  <c r="AR79" i="1"/>
  <c r="Q36" i="1" l="1"/>
  <c r="Q32" i="1" s="1"/>
  <c r="P28" i="1"/>
  <c r="AQ15" i="1"/>
  <c r="AQ28" i="1"/>
  <c r="AQ11" i="1"/>
  <c r="AQ90" i="1"/>
  <c r="AQ86" i="1"/>
  <c r="AQ75" i="1"/>
  <c r="AQ99" i="1"/>
  <c r="AQ92" i="1"/>
  <c r="AQ33" i="1"/>
  <c r="AQ20" i="1"/>
  <c r="AQ45" i="1"/>
  <c r="AQ37" i="1"/>
  <c r="AQ105" i="1"/>
  <c r="AQ65" i="1"/>
  <c r="AQ87" i="1"/>
  <c r="AQ43" i="1"/>
  <c r="AQ62" i="1"/>
  <c r="AQ94" i="1"/>
  <c r="AQ51" i="1"/>
  <c r="AQ17" i="1"/>
  <c r="AQ22" i="1"/>
  <c r="AQ24" i="1"/>
  <c r="AQ63" i="1"/>
  <c r="AQ48" i="1"/>
  <c r="AQ18" i="1"/>
  <c r="AQ14" i="1"/>
  <c r="AQ98" i="1"/>
  <c r="AQ61" i="1"/>
  <c r="AQ58" i="1"/>
  <c r="AQ55" i="1"/>
  <c r="AQ27" i="1"/>
  <c r="AQ23" i="1"/>
  <c r="AQ52" i="1"/>
  <c r="AQ64" i="1"/>
  <c r="AQ66" i="1"/>
  <c r="AQ96" i="1"/>
  <c r="AQ19" i="1"/>
  <c r="AQ53" i="1"/>
  <c r="AQ60" i="1"/>
  <c r="AQ29" i="1"/>
  <c r="AQ26" i="1"/>
  <c r="AQ78" i="1"/>
  <c r="AQ79" i="1"/>
  <c r="AQ102" i="1"/>
  <c r="AQ49" i="1"/>
  <c r="AQ30" i="1"/>
  <c r="AQ84" i="1"/>
  <c r="AQ100" i="1"/>
  <c r="AQ70" i="1"/>
  <c r="AQ16" i="1"/>
  <c r="AQ93" i="1"/>
  <c r="AQ35" i="1"/>
  <c r="AQ39" i="1"/>
  <c r="AQ69" i="1"/>
  <c r="AQ12" i="1"/>
  <c r="AQ81" i="1"/>
  <c r="AQ7" i="1"/>
  <c r="AQ85" i="1"/>
  <c r="AQ101" i="1"/>
  <c r="AQ71" i="1"/>
  <c r="AQ80" i="1"/>
  <c r="AQ54" i="1"/>
  <c r="AQ44" i="1"/>
  <c r="AQ57" i="1"/>
  <c r="AQ50" i="1"/>
  <c r="AQ95" i="1"/>
  <c r="AQ72" i="1"/>
  <c r="AQ46" i="1"/>
  <c r="AQ41" i="1"/>
  <c r="AQ104" i="1"/>
  <c r="AQ10" i="1"/>
  <c r="AQ88" i="1"/>
  <c r="AQ6" i="1"/>
  <c r="AQ67" i="1"/>
  <c r="AQ103" i="1"/>
  <c r="AQ59" i="1"/>
  <c r="AQ9" i="1"/>
  <c r="AQ73" i="1"/>
  <c r="AQ47" i="1"/>
  <c r="AQ32" i="1"/>
  <c r="AQ34" i="1"/>
  <c r="AQ74" i="1"/>
  <c r="AQ82" i="1"/>
  <c r="AQ40" i="1"/>
  <c r="AQ5" i="1"/>
  <c r="AQ13" i="1"/>
  <c r="AQ38" i="1"/>
  <c r="AQ68" i="1"/>
  <c r="AQ8" i="1"/>
  <c r="AQ21" i="1"/>
  <c r="AQ91" i="1"/>
  <c r="AQ31" i="1"/>
  <c r="AQ25" i="1"/>
  <c r="AQ83" i="1"/>
  <c r="AQ36" i="1"/>
  <c r="AQ89" i="1"/>
  <c r="AQ42" i="1"/>
  <c r="AQ97" i="1"/>
  <c r="AQ56" i="1"/>
  <c r="AQ76" i="1"/>
  <c r="AQ77" i="1"/>
  <c r="AL6" i="1"/>
  <c r="AL7" i="1"/>
  <c r="AL5" i="1"/>
  <c r="AL9" i="1"/>
  <c r="AL8" i="1"/>
  <c r="AL105" i="1"/>
  <c r="AL10" i="1"/>
  <c r="AJ11" i="1"/>
  <c r="AL11" i="1" s="1"/>
  <c r="AM105" i="1" l="1"/>
  <c r="AM9" i="1"/>
  <c r="AM5" i="1"/>
  <c r="AM11" i="1"/>
  <c r="AM7" i="1"/>
  <c r="AM6" i="1"/>
  <c r="AM8" i="1"/>
  <c r="AM10" i="1"/>
  <c r="AJ12" i="1"/>
  <c r="AL12" i="1" s="1"/>
  <c r="AM12" i="1" l="1"/>
  <c r="AJ13" i="1"/>
  <c r="AL13" i="1" l="1"/>
  <c r="AM13" i="1"/>
  <c r="AJ14" i="1"/>
  <c r="AL14" i="1" l="1"/>
  <c r="AM14" i="1"/>
  <c r="AJ15" i="1"/>
  <c r="AL15" i="1" l="1"/>
  <c r="AM15" i="1"/>
  <c r="AJ16" i="1"/>
  <c r="AL16" i="1" l="1"/>
  <c r="AM16" i="1"/>
  <c r="AJ17" i="1"/>
  <c r="AL17" i="1" l="1"/>
  <c r="AM17" i="1"/>
  <c r="AJ18" i="1"/>
  <c r="AL18" i="1" l="1"/>
  <c r="AM18" i="1"/>
  <c r="AJ19" i="1"/>
  <c r="AL19" i="1" l="1"/>
  <c r="AM19" i="1"/>
  <c r="AJ20" i="1"/>
  <c r="AL20" i="1" l="1"/>
  <c r="AM20" i="1"/>
  <c r="AJ21" i="1"/>
  <c r="AL21" i="1" l="1"/>
  <c r="AM21" i="1"/>
  <c r="AJ22" i="1"/>
  <c r="AL22" i="1" l="1"/>
  <c r="AM22" i="1"/>
  <c r="AJ23" i="1"/>
  <c r="AL23" i="1" l="1"/>
  <c r="AM23" i="1"/>
  <c r="AJ24" i="1"/>
  <c r="AL24" i="1" l="1"/>
  <c r="AM24" i="1"/>
  <c r="AJ25" i="1"/>
  <c r="AL25" i="1" l="1"/>
  <c r="AM25" i="1"/>
  <c r="AJ26" i="1"/>
  <c r="AL26" i="1" l="1"/>
  <c r="AM26" i="1"/>
  <c r="AJ27" i="1"/>
  <c r="AL27" i="1" l="1"/>
  <c r="AM27" i="1"/>
  <c r="AJ28" i="1"/>
  <c r="AL28" i="1" l="1"/>
  <c r="AM28" i="1"/>
  <c r="AJ29" i="1"/>
  <c r="AL29" i="1" l="1"/>
  <c r="AM29" i="1"/>
  <c r="AJ30" i="1"/>
  <c r="AL30" i="1" l="1"/>
  <c r="AM30" i="1"/>
  <c r="AJ31" i="1"/>
  <c r="AL31" i="1" l="1"/>
  <c r="AM31" i="1"/>
  <c r="AJ32" i="1"/>
  <c r="AL32" i="1" l="1"/>
  <c r="AM32" i="1"/>
  <c r="AJ33" i="1"/>
  <c r="AL33" i="1" l="1"/>
  <c r="AM33" i="1"/>
  <c r="AJ34" i="1"/>
  <c r="AL34" i="1" l="1"/>
  <c r="AM34" i="1"/>
  <c r="AJ35" i="1"/>
  <c r="AL35" i="1" l="1"/>
  <c r="AM35" i="1"/>
  <c r="AJ36" i="1"/>
  <c r="AL36" i="1" l="1"/>
  <c r="AM36" i="1"/>
  <c r="AJ37" i="1"/>
  <c r="AL37" i="1" l="1"/>
  <c r="AM37" i="1"/>
  <c r="AJ38" i="1"/>
  <c r="AL38" i="1" l="1"/>
  <c r="AM38" i="1"/>
  <c r="AJ39" i="1"/>
  <c r="AL39" i="1" l="1"/>
  <c r="AM39" i="1"/>
  <c r="AJ40" i="1"/>
  <c r="AL40" i="1" l="1"/>
  <c r="AM40" i="1"/>
  <c r="AJ41" i="1"/>
  <c r="AL41" i="1" l="1"/>
  <c r="AM41" i="1"/>
  <c r="AJ42" i="1"/>
  <c r="AL42" i="1" l="1"/>
  <c r="AM42" i="1"/>
  <c r="AJ43" i="1"/>
  <c r="AL43" i="1" l="1"/>
  <c r="AM43" i="1"/>
  <c r="AJ44" i="1"/>
  <c r="AL44" i="1" l="1"/>
  <c r="AM44" i="1"/>
  <c r="AJ45" i="1"/>
  <c r="AL45" i="1" l="1"/>
  <c r="AM45" i="1"/>
  <c r="AJ46" i="1"/>
  <c r="AL46" i="1" l="1"/>
  <c r="AM46" i="1"/>
  <c r="AJ47" i="1"/>
  <c r="AL47" i="1" l="1"/>
  <c r="AM47" i="1"/>
  <c r="AJ48" i="1"/>
  <c r="AL48" i="1" l="1"/>
  <c r="AM48" i="1"/>
  <c r="AJ49" i="1"/>
  <c r="AL49" i="1" l="1"/>
  <c r="AM49" i="1"/>
  <c r="AJ50" i="1"/>
  <c r="AL50" i="1" l="1"/>
  <c r="AM50" i="1"/>
  <c r="AJ51" i="1"/>
  <c r="AL51" i="1" l="1"/>
  <c r="AM51" i="1"/>
  <c r="AJ52" i="1"/>
  <c r="AL52" i="1" l="1"/>
  <c r="AM52" i="1"/>
  <c r="AJ53" i="1"/>
  <c r="AL53" i="1" l="1"/>
  <c r="AM53" i="1"/>
  <c r="AJ54" i="1"/>
  <c r="AL54" i="1" l="1"/>
  <c r="AM54" i="1"/>
  <c r="AJ55" i="1"/>
  <c r="AL55" i="1" l="1"/>
  <c r="AM55" i="1"/>
  <c r="AJ56" i="1"/>
  <c r="AL56" i="1" l="1"/>
  <c r="AM56" i="1"/>
  <c r="AJ57" i="1"/>
  <c r="AL57" i="1" l="1"/>
  <c r="AM57" i="1"/>
  <c r="AJ58" i="1"/>
  <c r="AL58" i="1" l="1"/>
  <c r="AM58" i="1"/>
  <c r="AJ59" i="1"/>
  <c r="AL59" i="1" l="1"/>
  <c r="AM59" i="1"/>
  <c r="AJ60" i="1"/>
  <c r="AL60" i="1" l="1"/>
  <c r="AM60" i="1"/>
  <c r="AJ61" i="1"/>
  <c r="AL61" i="1" l="1"/>
  <c r="AM61" i="1"/>
  <c r="AJ62" i="1"/>
  <c r="AL62" i="1" l="1"/>
  <c r="AM62" i="1"/>
  <c r="AJ63" i="1"/>
  <c r="AL63" i="1" l="1"/>
  <c r="AM63" i="1"/>
  <c r="AJ64" i="1"/>
  <c r="AL64" i="1" l="1"/>
  <c r="AM64" i="1"/>
  <c r="AJ65" i="1"/>
  <c r="AL65" i="1" l="1"/>
  <c r="AM65" i="1"/>
  <c r="AJ66" i="1"/>
  <c r="AL66" i="1" l="1"/>
  <c r="AM66" i="1"/>
  <c r="AJ67" i="1"/>
  <c r="AL67" i="1" l="1"/>
  <c r="AM67" i="1"/>
  <c r="AJ68" i="1"/>
  <c r="AL68" i="1" l="1"/>
  <c r="AM68" i="1"/>
  <c r="AJ69" i="1"/>
  <c r="AL69" i="1" l="1"/>
  <c r="AM69" i="1"/>
  <c r="AJ70" i="1"/>
  <c r="AL70" i="1" l="1"/>
  <c r="AM70" i="1"/>
  <c r="AJ71" i="1"/>
  <c r="AL71" i="1" l="1"/>
  <c r="AM71" i="1"/>
  <c r="AJ72" i="1"/>
  <c r="AL72" i="1" l="1"/>
  <c r="AM72" i="1"/>
  <c r="AJ73" i="1"/>
  <c r="AL73" i="1" l="1"/>
  <c r="AM73" i="1"/>
  <c r="AJ74" i="1"/>
  <c r="AL74" i="1" l="1"/>
  <c r="AM74" i="1"/>
  <c r="AJ75" i="1"/>
  <c r="AL75" i="1" l="1"/>
  <c r="AM75" i="1"/>
  <c r="AJ76" i="1"/>
  <c r="AL76" i="1" l="1"/>
  <c r="AM76" i="1"/>
  <c r="AJ77" i="1"/>
  <c r="AL77" i="1" l="1"/>
  <c r="AM77" i="1"/>
  <c r="AJ78" i="1"/>
  <c r="AL78" i="1" l="1"/>
  <c r="AM78" i="1"/>
  <c r="AJ79" i="1"/>
  <c r="AL79" i="1" l="1"/>
  <c r="AM79" i="1"/>
  <c r="AJ80" i="1"/>
  <c r="AL80" i="1" l="1"/>
  <c r="AM80" i="1"/>
  <c r="AJ81" i="1"/>
  <c r="AL81" i="1" l="1"/>
  <c r="AM81" i="1"/>
  <c r="AJ82" i="1"/>
  <c r="AL82" i="1" l="1"/>
  <c r="AM82" i="1"/>
  <c r="AJ83" i="1"/>
  <c r="AL83" i="1" l="1"/>
  <c r="AM83" i="1"/>
  <c r="AJ84" i="1"/>
  <c r="AL84" i="1" l="1"/>
  <c r="AM84" i="1"/>
  <c r="AJ85" i="1"/>
  <c r="AL85" i="1" l="1"/>
  <c r="AM85" i="1"/>
  <c r="AJ86" i="1"/>
  <c r="AL86" i="1" l="1"/>
  <c r="AM86" i="1"/>
  <c r="AJ87" i="1"/>
  <c r="AL87" i="1" l="1"/>
  <c r="AM87" i="1"/>
  <c r="AJ88" i="1"/>
  <c r="AL88" i="1" l="1"/>
  <c r="AM88" i="1"/>
  <c r="AJ89" i="1"/>
  <c r="AL89" i="1" l="1"/>
  <c r="AM89" i="1"/>
  <c r="AJ90" i="1"/>
  <c r="AL90" i="1" l="1"/>
  <c r="AM90" i="1"/>
  <c r="AJ91" i="1"/>
  <c r="AL91" i="1" l="1"/>
  <c r="AM91" i="1"/>
  <c r="AJ92" i="1"/>
  <c r="AL92" i="1" l="1"/>
  <c r="AM92" i="1"/>
  <c r="AJ93" i="1"/>
  <c r="AL93" i="1" l="1"/>
  <c r="AM93" i="1"/>
  <c r="AJ94" i="1"/>
  <c r="AL94" i="1" l="1"/>
  <c r="AM94" i="1"/>
  <c r="AJ95" i="1"/>
  <c r="AL95" i="1" l="1"/>
  <c r="AM95" i="1"/>
  <c r="AJ96" i="1"/>
  <c r="AL96" i="1" l="1"/>
  <c r="AM96" i="1"/>
  <c r="AJ97" i="1"/>
  <c r="AL97" i="1" l="1"/>
  <c r="AM97" i="1"/>
  <c r="AJ98" i="1"/>
  <c r="AL98" i="1" l="1"/>
  <c r="AM98" i="1"/>
  <c r="AJ99" i="1"/>
  <c r="AL99" i="1" l="1"/>
  <c r="AM99" i="1"/>
  <c r="AJ100" i="1"/>
  <c r="AL100" i="1" l="1"/>
  <c r="AM100" i="1"/>
  <c r="AJ101" i="1"/>
  <c r="AL101" i="1" l="1"/>
  <c r="AM101" i="1"/>
  <c r="AJ102" i="1"/>
  <c r="AL102" i="1" l="1"/>
  <c r="AM102" i="1"/>
  <c r="AJ103" i="1"/>
  <c r="AL103" i="1" l="1"/>
  <c r="AM103" i="1"/>
  <c r="AJ104" i="1"/>
  <c r="AL104" i="1" l="1"/>
  <c r="AM104" i="1"/>
  <c r="AJ105" i="1"/>
</calcChain>
</file>

<file path=xl/sharedStrings.xml><?xml version="1.0" encoding="utf-8"?>
<sst xmlns="http://schemas.openxmlformats.org/spreadsheetml/2006/main" count="229" uniqueCount="97">
  <si>
    <t>Average Production</t>
  </si>
  <si>
    <t>Sequence</t>
  </si>
  <si>
    <t>Grey</t>
  </si>
  <si>
    <t>Colour (Pro)</t>
  </si>
  <si>
    <t>Colour (Con)</t>
  </si>
  <si>
    <t>Average Consumption</t>
  </si>
  <si>
    <t>Site</t>
  </si>
  <si>
    <t>Production</t>
  </si>
  <si>
    <t>Consumption</t>
  </si>
  <si>
    <t>ECD001</t>
  </si>
  <si>
    <t>Total Production</t>
  </si>
  <si>
    <t>ECD002</t>
  </si>
  <si>
    <t>Total Consumption</t>
  </si>
  <si>
    <t>ECD003</t>
  </si>
  <si>
    <t>KZND001</t>
  </si>
  <si>
    <t>Production as Percentage:</t>
  </si>
  <si>
    <t>WCD001</t>
  </si>
  <si>
    <t>WCD002</t>
  </si>
  <si>
    <t>Consumption as Percentage:</t>
  </si>
  <si>
    <t>WCD003</t>
  </si>
  <si>
    <t>WCD004</t>
  </si>
  <si>
    <t>WCD005</t>
  </si>
  <si>
    <t>WCD006</t>
  </si>
  <si>
    <t>WCD007</t>
  </si>
  <si>
    <t>WCD008</t>
  </si>
  <si>
    <t>WCD009</t>
  </si>
  <si>
    <t>WCD010</t>
  </si>
  <si>
    <t>WCD011</t>
  </si>
  <si>
    <t>WCD012</t>
  </si>
  <si>
    <t>WCD013</t>
  </si>
  <si>
    <t>WCD014</t>
  </si>
  <si>
    <t>WCD015</t>
  </si>
  <si>
    <t>WCD016</t>
  </si>
  <si>
    <t>WCD017</t>
  </si>
  <si>
    <t>WCD018</t>
  </si>
  <si>
    <t>WCD019</t>
  </si>
  <si>
    <t>WCD020</t>
  </si>
  <si>
    <t>WCD021</t>
  </si>
  <si>
    <t>WCD022</t>
  </si>
  <si>
    <t>WCD023</t>
  </si>
  <si>
    <t>WCD024</t>
  </si>
  <si>
    <t>WCD025</t>
  </si>
  <si>
    <t>WCD026</t>
  </si>
  <si>
    <t>WCD027</t>
  </si>
  <si>
    <t>WCD028</t>
  </si>
  <si>
    <t>WCD029</t>
  </si>
  <si>
    <t>WCD030</t>
  </si>
  <si>
    <t>WCD031</t>
  </si>
  <si>
    <t>WCD032</t>
  </si>
  <si>
    <t>WCD033</t>
  </si>
  <si>
    <t>WCD034</t>
  </si>
  <si>
    <t>WCD035</t>
  </si>
  <si>
    <t>TOGD001</t>
  </si>
  <si>
    <t>TOGD002</t>
  </si>
  <si>
    <t>TOGD003</t>
  </si>
  <si>
    <t>TOGD004</t>
  </si>
  <si>
    <t>TOGD005</t>
  </si>
  <si>
    <t>TOGD006</t>
  </si>
  <si>
    <t>TOGD007</t>
  </si>
  <si>
    <t>TOGD008</t>
  </si>
  <si>
    <t>TOGD009</t>
  </si>
  <si>
    <t>TOGD010</t>
  </si>
  <si>
    <t>TOGD011</t>
  </si>
  <si>
    <t>TOGD012</t>
  </si>
  <si>
    <t>TOGD013</t>
  </si>
  <si>
    <t>TOGD014</t>
  </si>
  <si>
    <t>Purchase</t>
  </si>
  <si>
    <t>Average Purchase</t>
  </si>
  <si>
    <t>Total Purchase</t>
  </si>
  <si>
    <t>Production VS Purchase</t>
  </si>
  <si>
    <t>Purchase VS Production</t>
  </si>
  <si>
    <t>Tractor House</t>
  </si>
  <si>
    <t>Daily Stats:</t>
  </si>
  <si>
    <t>Site/ Date</t>
  </si>
  <si>
    <t>Daily totals</t>
  </si>
  <si>
    <t>Monthly total</t>
  </si>
  <si>
    <t>Monthly Stats:</t>
  </si>
  <si>
    <t>kWh</t>
  </si>
  <si>
    <t>DELAY0oard</t>
  </si>
  <si>
    <t>MWh</t>
  </si>
  <si>
    <t>*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</si>
  <si>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</si>
  <si>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</si>
  <si>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</si>
  <si>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</si>
  <si>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</si>
  <si>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</si>
  <si>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</si>
  <si>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</si>
  <si>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</si>
  <si>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</si>
  <si>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</si>
  <si>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</si>
  <si>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</si>
  <si>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Production (MWh)</t>
  </si>
  <si>
    <t>Consumption (MWh)</t>
  </si>
  <si>
    <t>Purchase 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</si>
</sst>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333333"/>
      <name val="Arial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2"/>
      <color rgb="FF201E3B"/>
      <name val="Segoe UI"/>
      <family val="2"/>
    </font>
    <font>
      <sz val="8"/>
      <color rgb="FF201E3B"/>
      <name val="Segoe UI"/>
      <family val="2"/>
    </font>
    <font>
      <sz val="10"/>
      <name val="Calibri"/>
      <family val="2"/>
    </font>
    <font>
      <sz val="8"/>
      <color rgb="FF212529"/>
      <name val="Arial"/>
      <family val="2"/>
    </font>
    <font>
      <sz val="10"/>
      <name val="Calibri"/>
    </font>
    <font>
      <sz val="11"/>
      <color rgb="FF2125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"/>
      </patternFill>
    </fill>
    <fill>
      <patternFill patternType="solid">
        <fgColor rgb="FFFFFFFF"/>
        <bgColor indexed="64"/>
      </patternFill>
    </fill>
    <fill>
      <patternFill patternType="solid">
        <fgColor rgb="FFFFFAF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/>
  </cellStyleXfs>
  <cellXfs count="44">
    <xf numFmtId="0" fontId="0" fillId="0" borderId="0" xfId="0"/>
    <xf numFmtId="9" fontId="0" fillId="0" borderId="0" xfId="1" applyFont="1"/>
    <xf numFmtId="2" fontId="0" fillId="0" borderId="0" xfId="1" applyNumberFormat="1" applyFon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0" fillId="0" borderId="2" xfId="0" applyBorder="1"/>
    <xf numFmtId="0" fontId="0" fillId="0" borderId="3" xfId="0" applyBorder="1"/>
    <xf numFmtId="2" fontId="0" fillId="0" borderId="0" xfId="1" applyNumberFormat="1" applyFont="1" applyBorder="1"/>
    <xf numFmtId="9" fontId="0" fillId="0" borderId="0" xfId="1" applyFont="1" applyBorder="1"/>
    <xf numFmtId="0" fontId="0" fillId="0" borderId="4" xfId="0" applyBorder="1"/>
    <xf numFmtId="0" fontId="0" fillId="0" borderId="5" xfId="0" applyBorder="1"/>
    <xf numFmtId="9" fontId="3" fillId="0" borderId="0" xfId="1" applyFont="1" applyFill="1" applyBorder="1"/>
    <xf numFmtId="2" fontId="0" fillId="0" borderId="0" xfId="0" applyNumberFormat="1"/>
    <xf numFmtId="2" fontId="2" fillId="0" borderId="0" xfId="0" applyNumberFormat="1" applyFont="1"/>
    <xf numFmtId="0" fontId="3" fillId="0" borderId="1" xfId="0" applyFont="1" applyBorder="1"/>
    <xf numFmtId="0" fontId="0" fillId="0" borderId="7" xfId="0" applyBorder="1"/>
    <xf numFmtId="0" fontId="4" fillId="0" borderId="3" xfId="0" applyFont="1" applyBorder="1"/>
    <xf numFmtId="0" fontId="4" fillId="0" borderId="8" xfId="0" applyFont="1" applyBorder="1"/>
    <xf numFmtId="2" fontId="5" fillId="0" borderId="0" xfId="0" applyNumberFormat="1" applyFont="1"/>
    <xf numFmtId="0" fontId="5" fillId="0" borderId="0" xfId="0" applyFont="1"/>
    <xf numFmtId="2" fontId="3" fillId="0" borderId="0" xfId="0" applyNumberFormat="1" applyFont="1"/>
    <xf numFmtId="0" fontId="0" fillId="0" borderId="8" xfId="0" applyBorder="1"/>
    <xf numFmtId="9" fontId="5" fillId="0" borderId="8" xfId="0" applyNumberFormat="1" applyFont="1" applyBorder="1"/>
    <xf numFmtId="9" fontId="4" fillId="0" borderId="0" xfId="0" applyNumberFormat="1" applyFont="1"/>
    <xf numFmtId="9" fontId="5" fillId="0" borderId="8" xfId="1" applyFont="1" applyBorder="1"/>
    <xf numFmtId="0" fontId="5" fillId="0" borderId="8" xfId="0" applyFont="1" applyBorder="1"/>
    <xf numFmtId="0" fontId="2" fillId="0" borderId="8" xfId="0" applyFont="1" applyBorder="1"/>
    <xf numFmtId="0" fontId="2" fillId="0" borderId="5" xfId="0" applyFont="1" applyBorder="1"/>
    <xf numFmtId="0" fontId="0" fillId="0" borderId="9" xfId="0" applyBorder="1"/>
    <xf numFmtId="0" fontId="6" fillId="0" borderId="0" xfId="0" applyFont="1"/>
    <xf numFmtId="2" fontId="9" fillId="0" borderId="0" xfId="0" applyNumberFormat="1" applyFont="1"/>
    <xf numFmtId="2" fontId="10" fillId="2" borderId="6" xfId="2" applyNumberFormat="1" applyFont="1" applyFill="1" applyBorder="1" applyAlignment="1">
      <alignment vertical="center"/>
    </xf>
    <xf numFmtId="2" fontId="8" fillId="0" borderId="0" xfId="0" applyNumberFormat="1" applyFont="1"/>
    <xf numFmtId="0" fontId="13" fillId="0" borderId="0" xfId="0" applyFont="1"/>
    <xf numFmtId="0" fontId="0" fillId="0" borderId="0" xfId="0" applyAlignment="1">
      <alignment horizontal="right"/>
    </xf>
    <xf numFmtId="0" fontId="0" fillId="0" borderId="1" xfId="0" applyBorder="1"/>
    <xf numFmtId="2" fontId="0" fillId="0" borderId="2" xfId="0" applyNumberFormat="1" applyBorder="1"/>
    <xf numFmtId="2" fontId="3" fillId="0" borderId="0" xfId="1" applyNumberFormat="1" applyFont="1" applyBorder="1"/>
    <xf numFmtId="0" fontId="0" fillId="3" borderId="0" xfId="0" applyFill="1"/>
    <xf numFmtId="2" fontId="11" fillId="4" borderId="0" xfId="0" applyNumberFormat="1" applyFont="1" applyFill="1" applyAlignment="1">
      <alignment horizontal="right" vertical="center"/>
    </xf>
    <xf numFmtId="2" fontId="0" fillId="0" borderId="5" xfId="0" applyNumberFormat="1" applyBorder="1"/>
    <xf numFmtId="0" fontId="3" fillId="0" borderId="3" xfId="0" applyFont="1" applyBorder="1"/>
    <xf numFmtId="0" fontId="12" fillId="2" borderId="6" xfId="2" applyFont="1" applyFill="1" applyBorder="1" applyAlignment="1">
      <alignment vertical="center"/>
    </xf>
  </cellXfs>
  <cellStyles count="3">
    <cellStyle name="Normal" xfId="0" builtinId="0"/>
    <cellStyle name="Normal 2" xfId="2" xr:uid="{3691B725-1B0A-43E3-B050-C493CFDE8E77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27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TODAY'S</a:t>
            </a:r>
            <a:r>
              <a:rPr lang="en-US" b="1" baseline="0"/>
              <a:t> </a:t>
            </a:r>
          </a:p>
          <a:p>
            <a:pPr>
              <a:defRPr/>
            </a:pPr>
            <a:r>
              <a:rPr lang="en-US" b="1"/>
              <a:t>SOLAR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Dashboard!$AP$4</c:f>
              <c:strCache>
                <c:ptCount val="1"/>
                <c:pt idx="0">
                  <c:v>Grey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</c:spPr>
          <c:dPt>
            <c:idx val="0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AED-404A-9292-C7C196DF8B09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AED-404A-9292-C7C196DF8B09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AED-404A-9292-C7C196DF8B09}"/>
              </c:ext>
            </c:extLst>
          </c:dPt>
          <c:dPt>
            <c:idx val="3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AED-404A-9292-C7C196DF8B09}"/>
              </c:ext>
            </c:extLst>
          </c:dPt>
          <c:dPt>
            <c:idx val="4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AED-404A-9292-C7C196DF8B09}"/>
              </c:ext>
            </c:extLst>
          </c:dPt>
          <c:dPt>
            <c:idx val="5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AED-404A-9292-C7C196DF8B09}"/>
              </c:ext>
            </c:extLst>
          </c:dPt>
          <c:dPt>
            <c:idx val="6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AED-404A-9292-C7C196DF8B09}"/>
              </c:ext>
            </c:extLst>
          </c:dPt>
          <c:dPt>
            <c:idx val="7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AED-404A-9292-C7C196DF8B09}"/>
              </c:ext>
            </c:extLst>
          </c:dPt>
          <c:dPt>
            <c:idx val="8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AED-404A-9292-C7C196DF8B09}"/>
              </c:ext>
            </c:extLst>
          </c:dPt>
          <c:dPt>
            <c:idx val="9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AED-404A-9292-C7C196DF8B09}"/>
              </c:ext>
            </c:extLst>
          </c:dPt>
          <c:dPt>
            <c:idx val="10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AED-404A-9292-C7C196DF8B09}"/>
              </c:ext>
            </c:extLst>
          </c:dPt>
          <c:dPt>
            <c:idx val="1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AED-404A-9292-C7C196DF8B09}"/>
              </c:ext>
            </c:extLst>
          </c:dPt>
          <c:dPt>
            <c:idx val="1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AED-404A-9292-C7C196DF8B09}"/>
              </c:ext>
            </c:extLst>
          </c:dPt>
          <c:dPt>
            <c:idx val="13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0AED-404A-9292-C7C196DF8B09}"/>
              </c:ext>
            </c:extLst>
          </c:dPt>
          <c:dPt>
            <c:idx val="14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0AED-404A-9292-C7C196DF8B09}"/>
              </c:ext>
            </c:extLst>
          </c:dPt>
          <c:dPt>
            <c:idx val="15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0AED-404A-9292-C7C196DF8B09}"/>
              </c:ext>
            </c:extLst>
          </c:dPt>
          <c:dPt>
            <c:idx val="16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0AED-404A-9292-C7C196DF8B09}"/>
              </c:ext>
            </c:extLst>
          </c:dPt>
          <c:dPt>
            <c:idx val="17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0AED-404A-9292-C7C196DF8B09}"/>
              </c:ext>
            </c:extLst>
          </c:dPt>
          <c:dPt>
            <c:idx val="18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0AED-404A-9292-C7C196DF8B09}"/>
              </c:ext>
            </c:extLst>
          </c:dPt>
          <c:dPt>
            <c:idx val="19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0AED-404A-9292-C7C196DF8B09}"/>
              </c:ext>
            </c:extLst>
          </c:dPt>
          <c:dPt>
            <c:idx val="20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0AED-404A-9292-C7C196DF8B09}"/>
              </c:ext>
            </c:extLst>
          </c:dPt>
          <c:dPt>
            <c:idx val="2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0AED-404A-9292-C7C196DF8B09}"/>
              </c:ext>
            </c:extLst>
          </c:dPt>
          <c:dPt>
            <c:idx val="2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0AED-404A-9292-C7C196DF8B09}"/>
              </c:ext>
            </c:extLst>
          </c:dPt>
          <c:dPt>
            <c:idx val="23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0AED-404A-9292-C7C196DF8B09}"/>
              </c:ext>
            </c:extLst>
          </c:dPt>
          <c:dPt>
            <c:idx val="24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0AED-404A-9292-C7C196DF8B09}"/>
              </c:ext>
            </c:extLst>
          </c:dPt>
          <c:dPt>
            <c:idx val="25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0AED-404A-9292-C7C196DF8B09}"/>
              </c:ext>
            </c:extLst>
          </c:dPt>
          <c:dPt>
            <c:idx val="26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0AED-404A-9292-C7C196DF8B09}"/>
              </c:ext>
            </c:extLst>
          </c:dPt>
          <c:dPt>
            <c:idx val="27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0AED-404A-9292-C7C196DF8B09}"/>
              </c:ext>
            </c:extLst>
          </c:dPt>
          <c:dPt>
            <c:idx val="28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0AED-404A-9292-C7C196DF8B09}"/>
              </c:ext>
            </c:extLst>
          </c:dPt>
          <c:dPt>
            <c:idx val="29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0AED-404A-9292-C7C196DF8B09}"/>
              </c:ext>
            </c:extLst>
          </c:dPt>
          <c:dPt>
            <c:idx val="30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0AED-404A-9292-C7C196DF8B09}"/>
              </c:ext>
            </c:extLst>
          </c:dPt>
          <c:dPt>
            <c:idx val="3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0AED-404A-9292-C7C196DF8B09}"/>
              </c:ext>
            </c:extLst>
          </c:dPt>
          <c:dPt>
            <c:idx val="3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0AED-404A-9292-C7C196DF8B09}"/>
              </c:ext>
            </c:extLst>
          </c:dPt>
          <c:dPt>
            <c:idx val="33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0AED-404A-9292-C7C196DF8B09}"/>
              </c:ext>
            </c:extLst>
          </c:dPt>
          <c:dPt>
            <c:idx val="34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0AED-404A-9292-C7C196DF8B09}"/>
              </c:ext>
            </c:extLst>
          </c:dPt>
          <c:dPt>
            <c:idx val="35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0AED-404A-9292-C7C196DF8B09}"/>
              </c:ext>
            </c:extLst>
          </c:dPt>
          <c:dPt>
            <c:idx val="36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0AED-404A-9292-C7C196DF8B09}"/>
              </c:ext>
            </c:extLst>
          </c:dPt>
          <c:dPt>
            <c:idx val="37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0AED-404A-9292-C7C196DF8B09}"/>
              </c:ext>
            </c:extLst>
          </c:dPt>
          <c:dPt>
            <c:idx val="38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0AED-404A-9292-C7C196DF8B09}"/>
              </c:ext>
            </c:extLst>
          </c:dPt>
          <c:dPt>
            <c:idx val="39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0AED-404A-9292-C7C196DF8B09}"/>
              </c:ext>
            </c:extLst>
          </c:dPt>
          <c:dPt>
            <c:idx val="40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0AED-404A-9292-C7C196DF8B09}"/>
              </c:ext>
            </c:extLst>
          </c:dPt>
          <c:dPt>
            <c:idx val="4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0AED-404A-9292-C7C196DF8B09}"/>
              </c:ext>
            </c:extLst>
          </c:dPt>
          <c:dPt>
            <c:idx val="4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0AED-404A-9292-C7C196DF8B09}"/>
              </c:ext>
            </c:extLst>
          </c:dPt>
          <c:dPt>
            <c:idx val="43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0AED-404A-9292-C7C196DF8B09}"/>
              </c:ext>
            </c:extLst>
          </c:dPt>
          <c:dPt>
            <c:idx val="44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0AED-404A-9292-C7C196DF8B09}"/>
              </c:ext>
            </c:extLst>
          </c:dPt>
          <c:dPt>
            <c:idx val="45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0AED-404A-9292-C7C196DF8B09}"/>
              </c:ext>
            </c:extLst>
          </c:dPt>
          <c:dPt>
            <c:idx val="46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0AED-404A-9292-C7C196DF8B09}"/>
              </c:ext>
            </c:extLst>
          </c:dPt>
          <c:dPt>
            <c:idx val="47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0AED-404A-9292-C7C196DF8B09}"/>
              </c:ext>
            </c:extLst>
          </c:dPt>
          <c:dPt>
            <c:idx val="48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0AED-404A-9292-C7C196DF8B09}"/>
              </c:ext>
            </c:extLst>
          </c:dPt>
          <c:dPt>
            <c:idx val="49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0AED-404A-9292-C7C196DF8B09}"/>
              </c:ext>
            </c:extLst>
          </c:dPt>
          <c:dPt>
            <c:idx val="50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0AED-404A-9292-C7C196DF8B09}"/>
              </c:ext>
            </c:extLst>
          </c:dPt>
          <c:dPt>
            <c:idx val="5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0AED-404A-9292-C7C196DF8B09}"/>
              </c:ext>
            </c:extLst>
          </c:dPt>
          <c:dPt>
            <c:idx val="5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0AED-404A-9292-C7C196DF8B09}"/>
              </c:ext>
            </c:extLst>
          </c:dPt>
          <c:dPt>
            <c:idx val="53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0AED-404A-9292-C7C196DF8B09}"/>
              </c:ext>
            </c:extLst>
          </c:dPt>
          <c:dPt>
            <c:idx val="54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0AED-404A-9292-C7C196DF8B09}"/>
              </c:ext>
            </c:extLst>
          </c:dPt>
          <c:dPt>
            <c:idx val="55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0AED-404A-9292-C7C196DF8B09}"/>
              </c:ext>
            </c:extLst>
          </c:dPt>
          <c:dPt>
            <c:idx val="56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0AED-404A-9292-C7C196DF8B09}"/>
              </c:ext>
            </c:extLst>
          </c:dPt>
          <c:dPt>
            <c:idx val="57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0AED-404A-9292-C7C196DF8B09}"/>
              </c:ext>
            </c:extLst>
          </c:dPt>
          <c:dPt>
            <c:idx val="58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0AED-404A-9292-C7C196DF8B09}"/>
              </c:ext>
            </c:extLst>
          </c:dPt>
          <c:dPt>
            <c:idx val="59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0AED-404A-9292-C7C196DF8B09}"/>
              </c:ext>
            </c:extLst>
          </c:dPt>
          <c:dPt>
            <c:idx val="60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0AED-404A-9292-C7C196DF8B09}"/>
              </c:ext>
            </c:extLst>
          </c:dPt>
          <c:dPt>
            <c:idx val="6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0AED-404A-9292-C7C196DF8B09}"/>
              </c:ext>
            </c:extLst>
          </c:dPt>
          <c:dPt>
            <c:idx val="6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0AED-404A-9292-C7C196DF8B09}"/>
              </c:ext>
            </c:extLst>
          </c:dPt>
          <c:dPt>
            <c:idx val="63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0AED-404A-9292-C7C196DF8B09}"/>
              </c:ext>
            </c:extLst>
          </c:dPt>
          <c:dPt>
            <c:idx val="64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0AED-404A-9292-C7C196DF8B09}"/>
              </c:ext>
            </c:extLst>
          </c:dPt>
          <c:dPt>
            <c:idx val="65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0AED-404A-9292-C7C196DF8B09}"/>
              </c:ext>
            </c:extLst>
          </c:dPt>
          <c:dPt>
            <c:idx val="66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0AED-404A-9292-C7C196DF8B09}"/>
              </c:ext>
            </c:extLst>
          </c:dPt>
          <c:dPt>
            <c:idx val="67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0AED-404A-9292-C7C196DF8B09}"/>
              </c:ext>
            </c:extLst>
          </c:dPt>
          <c:dPt>
            <c:idx val="68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0AED-404A-9292-C7C196DF8B09}"/>
              </c:ext>
            </c:extLst>
          </c:dPt>
          <c:dPt>
            <c:idx val="69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0AED-404A-9292-C7C196DF8B09}"/>
              </c:ext>
            </c:extLst>
          </c:dPt>
          <c:dPt>
            <c:idx val="70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0AED-404A-9292-C7C196DF8B09}"/>
              </c:ext>
            </c:extLst>
          </c:dPt>
          <c:dPt>
            <c:idx val="7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0AED-404A-9292-C7C196DF8B09}"/>
              </c:ext>
            </c:extLst>
          </c:dPt>
          <c:dPt>
            <c:idx val="7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0AED-404A-9292-C7C196DF8B09}"/>
              </c:ext>
            </c:extLst>
          </c:dPt>
          <c:dPt>
            <c:idx val="73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0AED-404A-9292-C7C196DF8B09}"/>
              </c:ext>
            </c:extLst>
          </c:dPt>
          <c:dPt>
            <c:idx val="74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0AED-404A-9292-C7C196DF8B09}"/>
              </c:ext>
            </c:extLst>
          </c:dPt>
          <c:dPt>
            <c:idx val="75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0AED-404A-9292-C7C196DF8B09}"/>
              </c:ext>
            </c:extLst>
          </c:dPt>
          <c:dPt>
            <c:idx val="76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0AED-404A-9292-C7C196DF8B09}"/>
              </c:ext>
            </c:extLst>
          </c:dPt>
          <c:dPt>
            <c:idx val="77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0AED-404A-9292-C7C196DF8B09}"/>
              </c:ext>
            </c:extLst>
          </c:dPt>
          <c:dPt>
            <c:idx val="78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0AED-404A-9292-C7C196DF8B09}"/>
              </c:ext>
            </c:extLst>
          </c:dPt>
          <c:dPt>
            <c:idx val="79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0AED-404A-9292-C7C196DF8B09}"/>
              </c:ext>
            </c:extLst>
          </c:dPt>
          <c:dPt>
            <c:idx val="80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0AED-404A-9292-C7C196DF8B09}"/>
              </c:ext>
            </c:extLst>
          </c:dPt>
          <c:dPt>
            <c:idx val="8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0AED-404A-9292-C7C196DF8B09}"/>
              </c:ext>
            </c:extLst>
          </c:dPt>
          <c:dPt>
            <c:idx val="8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0AED-404A-9292-C7C196DF8B09}"/>
              </c:ext>
            </c:extLst>
          </c:dPt>
          <c:dPt>
            <c:idx val="83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0AED-404A-9292-C7C196DF8B09}"/>
              </c:ext>
            </c:extLst>
          </c:dPt>
          <c:dPt>
            <c:idx val="84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0AED-404A-9292-C7C196DF8B09}"/>
              </c:ext>
            </c:extLst>
          </c:dPt>
          <c:dPt>
            <c:idx val="85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0AED-404A-9292-C7C196DF8B09}"/>
              </c:ext>
            </c:extLst>
          </c:dPt>
          <c:dPt>
            <c:idx val="86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0AED-404A-9292-C7C196DF8B09}"/>
              </c:ext>
            </c:extLst>
          </c:dPt>
          <c:dPt>
            <c:idx val="87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0AED-404A-9292-C7C196DF8B09}"/>
              </c:ext>
            </c:extLst>
          </c:dPt>
          <c:dPt>
            <c:idx val="88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0AED-404A-9292-C7C196DF8B09}"/>
              </c:ext>
            </c:extLst>
          </c:dPt>
          <c:dPt>
            <c:idx val="89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0AED-404A-9292-C7C196DF8B09}"/>
              </c:ext>
            </c:extLst>
          </c:dPt>
          <c:dPt>
            <c:idx val="90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0AED-404A-9292-C7C196DF8B09}"/>
              </c:ext>
            </c:extLst>
          </c:dPt>
          <c:dPt>
            <c:idx val="9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0AED-404A-9292-C7C196DF8B09}"/>
              </c:ext>
            </c:extLst>
          </c:dPt>
          <c:dPt>
            <c:idx val="9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0AED-404A-9292-C7C196DF8B09}"/>
              </c:ext>
            </c:extLst>
          </c:dPt>
          <c:dPt>
            <c:idx val="93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0AED-404A-9292-C7C196DF8B09}"/>
              </c:ext>
            </c:extLst>
          </c:dPt>
          <c:dPt>
            <c:idx val="94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0AED-404A-9292-C7C196DF8B09}"/>
              </c:ext>
            </c:extLst>
          </c:dPt>
          <c:dPt>
            <c:idx val="95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0AED-404A-9292-C7C196DF8B09}"/>
              </c:ext>
            </c:extLst>
          </c:dPt>
          <c:dPt>
            <c:idx val="96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0AED-404A-9292-C7C196DF8B09}"/>
              </c:ext>
            </c:extLst>
          </c:dPt>
          <c:dPt>
            <c:idx val="97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0AED-404A-9292-C7C196DF8B09}"/>
              </c:ext>
            </c:extLst>
          </c:dPt>
          <c:dPt>
            <c:idx val="98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0AED-404A-9292-C7C196DF8B09}"/>
              </c:ext>
            </c:extLst>
          </c:dPt>
          <c:dPt>
            <c:idx val="99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0AED-404A-9292-C7C196DF8B09}"/>
              </c:ext>
            </c:extLst>
          </c:dPt>
          <c:dPt>
            <c:idx val="10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F71-4374-86B0-B8EB6D12499D}"/>
              </c:ext>
            </c:extLst>
          </c:dPt>
          <c:val>
            <c:numRef>
              <c:f>Dashboard!$AP$5:$AP$105</c:f>
              <c:numCache>
                <c:formatCode>General</c:formatCode>
                <c:ptCount val="1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71-4374-86B0-B8EB6D124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1"/>
      </c:doughnutChart>
      <c:doughnutChart>
        <c:varyColors val="1"/>
        <c:ser>
          <c:idx val="1"/>
          <c:order val="1"/>
          <c:tx>
            <c:strRef>
              <c:f>Dashboard!$AQ$4</c:f>
              <c:strCache>
                <c:ptCount val="1"/>
                <c:pt idx="0">
                  <c:v>Colour (Pro)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B-0AED-404A-9292-C7C196DF8B09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D-0AED-404A-9292-C7C196DF8B09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F-0AED-404A-9292-C7C196DF8B09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1-0AED-404A-9292-C7C196DF8B09}"/>
              </c:ext>
            </c:extLst>
          </c:dPt>
          <c:dPt>
            <c:idx val="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3-0AED-404A-9292-C7C196DF8B09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5-0AED-404A-9292-C7C196DF8B09}"/>
              </c:ext>
            </c:extLst>
          </c:dPt>
          <c:dPt>
            <c:idx val="6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7-0AED-404A-9292-C7C196DF8B09}"/>
              </c:ext>
            </c:extLst>
          </c:dPt>
          <c:dPt>
            <c:idx val="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9-0AED-404A-9292-C7C196DF8B09}"/>
              </c:ext>
            </c:extLst>
          </c:dPt>
          <c:dPt>
            <c:idx val="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B-0AED-404A-9292-C7C196DF8B09}"/>
              </c:ext>
            </c:extLst>
          </c:dPt>
          <c:dPt>
            <c:idx val="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D-0AED-404A-9292-C7C196DF8B09}"/>
              </c:ext>
            </c:extLst>
          </c:dPt>
          <c:dPt>
            <c:idx val="1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F-0AED-404A-9292-C7C196DF8B0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1-0AED-404A-9292-C7C196DF8B09}"/>
              </c:ext>
            </c:extLst>
          </c:dPt>
          <c:dPt>
            <c:idx val="1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3-0AED-404A-9292-C7C196DF8B09}"/>
              </c:ext>
            </c:extLst>
          </c:dPt>
          <c:dPt>
            <c:idx val="1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5-0AED-404A-9292-C7C196DF8B09}"/>
              </c:ext>
            </c:extLst>
          </c:dPt>
          <c:dPt>
            <c:idx val="1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7-0AED-404A-9292-C7C196DF8B09}"/>
              </c:ext>
            </c:extLst>
          </c:dPt>
          <c:dPt>
            <c:idx val="1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9-0AED-404A-9292-C7C196DF8B09}"/>
              </c:ext>
            </c:extLst>
          </c:dPt>
          <c:dPt>
            <c:idx val="16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B-0AED-404A-9292-C7C196DF8B0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D-0AED-404A-9292-C7C196DF8B09}"/>
              </c:ext>
            </c:extLst>
          </c:dPt>
          <c:dPt>
            <c:idx val="1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F-0AED-404A-9292-C7C196DF8B09}"/>
              </c:ext>
            </c:extLst>
          </c:dPt>
          <c:dPt>
            <c:idx val="1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1-0AED-404A-9292-C7C196DF8B09}"/>
              </c:ext>
            </c:extLst>
          </c:dPt>
          <c:dPt>
            <c:idx val="2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3-0AED-404A-9292-C7C196DF8B09}"/>
              </c:ext>
            </c:extLst>
          </c:dPt>
          <c:dPt>
            <c:idx val="2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5-0AED-404A-9292-C7C196DF8B09}"/>
              </c:ext>
            </c:extLst>
          </c:dPt>
          <c:dPt>
            <c:idx val="2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7-0AED-404A-9292-C7C196DF8B0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9-0AED-404A-9292-C7C196DF8B09}"/>
              </c:ext>
            </c:extLst>
          </c:dPt>
          <c:dPt>
            <c:idx val="2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B-0AED-404A-9292-C7C196DF8B09}"/>
              </c:ext>
            </c:extLst>
          </c:dPt>
          <c:dPt>
            <c:idx val="2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D-0AED-404A-9292-C7C196DF8B09}"/>
              </c:ext>
            </c:extLst>
          </c:dPt>
          <c:dPt>
            <c:idx val="26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F-0AED-404A-9292-C7C196DF8B09}"/>
              </c:ext>
            </c:extLst>
          </c:dPt>
          <c:dPt>
            <c:idx val="2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1-0AED-404A-9292-C7C196DF8B09}"/>
              </c:ext>
            </c:extLst>
          </c:dPt>
          <c:dPt>
            <c:idx val="2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3-0AED-404A-9292-C7C196DF8B09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5-0AED-404A-9292-C7C196DF8B09}"/>
              </c:ext>
            </c:extLst>
          </c:dPt>
          <c:dPt>
            <c:idx val="3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7-0AED-404A-9292-C7C196DF8B09}"/>
              </c:ext>
            </c:extLst>
          </c:dPt>
          <c:dPt>
            <c:idx val="3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9-0AED-404A-9292-C7C196DF8B09}"/>
              </c:ext>
            </c:extLst>
          </c:dPt>
          <c:dPt>
            <c:idx val="3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B-0AED-404A-9292-C7C196DF8B09}"/>
              </c:ext>
            </c:extLst>
          </c:dPt>
          <c:dPt>
            <c:idx val="3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D-0AED-404A-9292-C7C196DF8B09}"/>
              </c:ext>
            </c:extLst>
          </c:dPt>
          <c:dPt>
            <c:idx val="3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F-0AED-404A-9292-C7C196DF8B09}"/>
              </c:ext>
            </c:extLst>
          </c:dPt>
          <c:dPt>
            <c:idx val="3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1-0AED-404A-9292-C7C196DF8B09}"/>
              </c:ext>
            </c:extLst>
          </c:dPt>
          <c:dPt>
            <c:idx val="36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3-0AED-404A-9292-C7C196DF8B09}"/>
              </c:ext>
            </c:extLst>
          </c:dPt>
          <c:dPt>
            <c:idx val="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5-0AED-404A-9292-C7C196DF8B09}"/>
              </c:ext>
            </c:extLst>
          </c:dPt>
          <c:dPt>
            <c:idx val="3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7-0AED-404A-9292-C7C196DF8B09}"/>
              </c:ext>
            </c:extLst>
          </c:dPt>
          <c:dPt>
            <c:idx val="3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9-0AED-404A-9292-C7C196DF8B09}"/>
              </c:ext>
            </c:extLst>
          </c:dPt>
          <c:dPt>
            <c:idx val="4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B-0AED-404A-9292-C7C196DF8B09}"/>
              </c:ext>
            </c:extLst>
          </c:dPt>
          <c:dPt>
            <c:idx val="4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D-0AED-404A-9292-C7C196DF8B09}"/>
              </c:ext>
            </c:extLst>
          </c:dPt>
          <c:dPt>
            <c:idx val="4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F-0AED-404A-9292-C7C196DF8B09}"/>
              </c:ext>
            </c:extLst>
          </c:dPt>
          <c:dPt>
            <c:idx val="4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1-0AED-404A-9292-C7C196DF8B09}"/>
              </c:ext>
            </c:extLst>
          </c:dPt>
          <c:dPt>
            <c:idx val="4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3-0AED-404A-9292-C7C196DF8B09}"/>
              </c:ext>
            </c:extLst>
          </c:dPt>
          <c:dPt>
            <c:idx val="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5-0AED-404A-9292-C7C196DF8B09}"/>
              </c:ext>
            </c:extLst>
          </c:dPt>
          <c:dPt>
            <c:idx val="46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7-0AED-404A-9292-C7C196DF8B09}"/>
              </c:ext>
            </c:extLst>
          </c:dPt>
          <c:dPt>
            <c:idx val="4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9-0AED-404A-9292-C7C196DF8B09}"/>
              </c:ext>
            </c:extLst>
          </c:dPt>
          <c:dPt>
            <c:idx val="4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B-0AED-404A-9292-C7C196DF8B09}"/>
              </c:ext>
            </c:extLst>
          </c:dPt>
          <c:dPt>
            <c:idx val="4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D-0AED-404A-9292-C7C196DF8B09}"/>
              </c:ext>
            </c:extLst>
          </c:dPt>
          <c:dPt>
            <c:idx val="5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F-0AED-404A-9292-C7C196DF8B09}"/>
              </c:ext>
            </c:extLst>
          </c:dPt>
          <c:dPt>
            <c:idx val="5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1-0AED-404A-9292-C7C196DF8B09}"/>
              </c:ext>
            </c:extLst>
          </c:dPt>
          <c:dPt>
            <c:idx val="5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3-0AED-404A-9292-C7C196DF8B09}"/>
              </c:ext>
            </c:extLst>
          </c:dPt>
          <c:dPt>
            <c:idx val="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5-0AED-404A-9292-C7C196DF8B09}"/>
              </c:ext>
            </c:extLst>
          </c:dPt>
          <c:dPt>
            <c:idx val="5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7-0AED-404A-9292-C7C196DF8B09}"/>
              </c:ext>
            </c:extLst>
          </c:dPt>
          <c:dPt>
            <c:idx val="5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9-0AED-404A-9292-C7C196DF8B09}"/>
              </c:ext>
            </c:extLst>
          </c:dPt>
          <c:dPt>
            <c:idx val="56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B-0AED-404A-9292-C7C196DF8B09}"/>
              </c:ext>
            </c:extLst>
          </c:dPt>
          <c:dPt>
            <c:idx val="5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D-0AED-404A-9292-C7C196DF8B09}"/>
              </c:ext>
            </c:extLst>
          </c:dPt>
          <c:dPt>
            <c:idx val="5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F-0AED-404A-9292-C7C196DF8B09}"/>
              </c:ext>
            </c:extLst>
          </c:dPt>
          <c:dPt>
            <c:idx val="5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1-0AED-404A-9292-C7C196DF8B09}"/>
              </c:ext>
            </c:extLst>
          </c:dPt>
          <c:dPt>
            <c:idx val="6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3-0AED-404A-9292-C7C196DF8B09}"/>
              </c:ext>
            </c:extLst>
          </c:dPt>
          <c:dPt>
            <c:idx val="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5-0AED-404A-9292-C7C196DF8B09}"/>
              </c:ext>
            </c:extLst>
          </c:dPt>
          <c:dPt>
            <c:idx val="6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7-0AED-404A-9292-C7C196DF8B09}"/>
              </c:ext>
            </c:extLst>
          </c:dPt>
          <c:dPt>
            <c:idx val="6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9-0AED-404A-9292-C7C196DF8B09}"/>
              </c:ext>
            </c:extLst>
          </c:dPt>
          <c:dPt>
            <c:idx val="6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B-0AED-404A-9292-C7C196DF8B09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D-0AED-404A-9292-C7C196DF8B09}"/>
              </c:ext>
            </c:extLst>
          </c:dPt>
          <c:dPt>
            <c:idx val="66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F-0AED-404A-9292-C7C196DF8B09}"/>
              </c:ext>
            </c:extLst>
          </c:dPt>
          <c:dPt>
            <c:idx val="6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1-0AED-404A-9292-C7C196DF8B09}"/>
              </c:ext>
            </c:extLst>
          </c:dPt>
          <c:dPt>
            <c:idx val="6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3-0AED-404A-9292-C7C196DF8B09}"/>
              </c:ext>
            </c:extLst>
          </c:dPt>
          <c:dPt>
            <c:idx val="6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5-0AED-404A-9292-C7C196DF8B09}"/>
              </c:ext>
            </c:extLst>
          </c:dPt>
          <c:dPt>
            <c:idx val="7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7-0AED-404A-9292-C7C196DF8B09}"/>
              </c:ext>
            </c:extLst>
          </c:dPt>
          <c:dPt>
            <c:idx val="7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9-0AED-404A-9292-C7C196DF8B09}"/>
              </c:ext>
            </c:extLst>
          </c:dPt>
          <c:dPt>
            <c:idx val="7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B-0AED-404A-9292-C7C196DF8B09}"/>
              </c:ext>
            </c:extLst>
          </c:dPt>
          <c:dPt>
            <c:idx val="7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D-0AED-404A-9292-C7C196DF8B09}"/>
              </c:ext>
            </c:extLst>
          </c:dPt>
          <c:dPt>
            <c:idx val="7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F-0AED-404A-9292-C7C196DF8B09}"/>
              </c:ext>
            </c:extLst>
          </c:dPt>
          <c:dPt>
            <c:idx val="7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1-0AED-404A-9292-C7C196DF8B09}"/>
              </c:ext>
            </c:extLst>
          </c:dPt>
          <c:dPt>
            <c:idx val="76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3-0AED-404A-9292-C7C196DF8B09}"/>
              </c:ext>
            </c:extLst>
          </c:dPt>
          <c:dPt>
            <c:idx val="7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5-0AED-404A-9292-C7C196DF8B09}"/>
              </c:ext>
            </c:extLst>
          </c:dPt>
          <c:dPt>
            <c:idx val="7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7-0AED-404A-9292-C7C196DF8B09}"/>
              </c:ext>
            </c:extLst>
          </c:dPt>
          <c:dPt>
            <c:idx val="7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9-0AED-404A-9292-C7C196DF8B09}"/>
              </c:ext>
            </c:extLst>
          </c:dPt>
          <c:dPt>
            <c:idx val="8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B-0AED-404A-9292-C7C196DF8B09}"/>
              </c:ext>
            </c:extLst>
          </c:dPt>
          <c:dPt>
            <c:idx val="8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D-0AED-404A-9292-C7C196DF8B09}"/>
              </c:ext>
            </c:extLst>
          </c:dPt>
          <c:dPt>
            <c:idx val="8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F-0AED-404A-9292-C7C196DF8B09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1-0AED-404A-9292-C7C196DF8B09}"/>
              </c:ext>
            </c:extLst>
          </c:dPt>
          <c:dPt>
            <c:idx val="8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3-0AED-404A-9292-C7C196DF8B09}"/>
              </c:ext>
            </c:extLst>
          </c:dPt>
          <c:dPt>
            <c:idx val="8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5-0AED-404A-9292-C7C196DF8B09}"/>
              </c:ext>
            </c:extLst>
          </c:dPt>
          <c:dPt>
            <c:idx val="86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7-0AED-404A-9292-C7C196DF8B09}"/>
              </c:ext>
            </c:extLst>
          </c:dPt>
          <c:dPt>
            <c:idx val="8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9-0AED-404A-9292-C7C196DF8B09}"/>
              </c:ext>
            </c:extLst>
          </c:dPt>
          <c:dPt>
            <c:idx val="8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B-0AED-404A-9292-C7C196DF8B09}"/>
              </c:ext>
            </c:extLst>
          </c:dPt>
          <c:dPt>
            <c:idx val="8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D-0AED-404A-9292-C7C196DF8B09}"/>
              </c:ext>
            </c:extLst>
          </c:dPt>
          <c:dPt>
            <c:idx val="9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F-0AED-404A-9292-C7C196DF8B09}"/>
              </c:ext>
            </c:extLst>
          </c:dPt>
          <c:dPt>
            <c:idx val="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1-0AED-404A-9292-C7C196DF8B09}"/>
              </c:ext>
            </c:extLst>
          </c:dPt>
          <c:dPt>
            <c:idx val="9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3-0AED-404A-9292-C7C196DF8B09}"/>
              </c:ext>
            </c:extLst>
          </c:dPt>
          <c:dPt>
            <c:idx val="9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5-0AED-404A-9292-C7C196DF8B09}"/>
              </c:ext>
            </c:extLst>
          </c:dPt>
          <c:dPt>
            <c:idx val="9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7-0AED-404A-9292-C7C196DF8B09}"/>
              </c:ext>
            </c:extLst>
          </c:dPt>
          <c:dPt>
            <c:idx val="9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9-0AED-404A-9292-C7C196DF8B09}"/>
              </c:ext>
            </c:extLst>
          </c:dPt>
          <c:dPt>
            <c:idx val="96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B-0AED-404A-9292-C7C196DF8B09}"/>
              </c:ext>
            </c:extLst>
          </c:dPt>
          <c:dPt>
            <c:idx val="9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D-0AED-404A-9292-C7C196DF8B09}"/>
              </c:ext>
            </c:extLst>
          </c:dPt>
          <c:dPt>
            <c:idx val="9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F-0AED-404A-9292-C7C196DF8B09}"/>
              </c:ext>
            </c:extLst>
          </c:dPt>
          <c:dPt>
            <c:idx val="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1-0AED-404A-9292-C7C196DF8B09}"/>
              </c:ext>
            </c:extLst>
          </c:dPt>
          <c:dPt>
            <c:idx val="100"/>
            <c:bubble3D val="0"/>
            <c:explosion val="1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F71-4374-86B0-B8EB6D12499D}"/>
              </c:ext>
            </c:extLst>
          </c:dPt>
          <c:val>
            <c:numRef>
              <c:f>Dashboard!$AQ$5:$AQ$105</c:f>
              <c:numCache>
                <c:formatCode>General</c:formatCode>
                <c:ptCount val="1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 formatCode="0.00">
                  <c:v>175.45132063535101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71-4374-86B0-B8EB6D124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1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TODAY'S</a:t>
            </a:r>
          </a:p>
          <a:p>
            <a:pPr>
              <a:defRPr/>
            </a:pPr>
            <a:r>
              <a:rPr lang="en-US" sz="1400" b="1"/>
              <a:t>ESKOM</a:t>
            </a:r>
            <a:r>
              <a:rPr lang="en-US" sz="1400" b="1" baseline="0"/>
              <a:t> PURCHASE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Dashboard!$AP$4</c:f>
              <c:strCache>
                <c:ptCount val="1"/>
                <c:pt idx="0">
                  <c:v>Grey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2AC-4BB1-A468-0C8D7DCE1241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2AC-4BB1-A468-0C8D7DCE1241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2AC-4BB1-A468-0C8D7DCE1241}"/>
              </c:ext>
            </c:extLst>
          </c:dPt>
          <c:dPt>
            <c:idx val="3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2AC-4BB1-A468-0C8D7DCE1241}"/>
              </c:ext>
            </c:extLst>
          </c:dPt>
          <c:dPt>
            <c:idx val="4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2AC-4BB1-A468-0C8D7DCE1241}"/>
              </c:ext>
            </c:extLst>
          </c:dPt>
          <c:dPt>
            <c:idx val="5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2AC-4BB1-A468-0C8D7DCE1241}"/>
              </c:ext>
            </c:extLst>
          </c:dPt>
          <c:dPt>
            <c:idx val="6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2AC-4BB1-A468-0C8D7DCE1241}"/>
              </c:ext>
            </c:extLst>
          </c:dPt>
          <c:dPt>
            <c:idx val="7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2AC-4BB1-A468-0C8D7DCE1241}"/>
              </c:ext>
            </c:extLst>
          </c:dPt>
          <c:dPt>
            <c:idx val="8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2AC-4BB1-A468-0C8D7DCE1241}"/>
              </c:ext>
            </c:extLst>
          </c:dPt>
          <c:dPt>
            <c:idx val="9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2AC-4BB1-A468-0C8D7DCE1241}"/>
              </c:ext>
            </c:extLst>
          </c:dPt>
          <c:dPt>
            <c:idx val="1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2AC-4BB1-A468-0C8D7DCE1241}"/>
              </c:ext>
            </c:extLst>
          </c:dPt>
          <c:dPt>
            <c:idx val="1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2AC-4BB1-A468-0C8D7DCE1241}"/>
              </c:ext>
            </c:extLst>
          </c:dPt>
          <c:dPt>
            <c:idx val="1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C2AC-4BB1-A468-0C8D7DCE1241}"/>
              </c:ext>
            </c:extLst>
          </c:dPt>
          <c:dPt>
            <c:idx val="13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C2AC-4BB1-A468-0C8D7DCE1241}"/>
              </c:ext>
            </c:extLst>
          </c:dPt>
          <c:dPt>
            <c:idx val="14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C2AC-4BB1-A468-0C8D7DCE1241}"/>
              </c:ext>
            </c:extLst>
          </c:dPt>
          <c:dPt>
            <c:idx val="15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C2AC-4BB1-A468-0C8D7DCE1241}"/>
              </c:ext>
            </c:extLst>
          </c:dPt>
          <c:dPt>
            <c:idx val="16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C2AC-4BB1-A468-0C8D7DCE1241}"/>
              </c:ext>
            </c:extLst>
          </c:dPt>
          <c:dPt>
            <c:idx val="17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C2AC-4BB1-A468-0C8D7DCE1241}"/>
              </c:ext>
            </c:extLst>
          </c:dPt>
          <c:dPt>
            <c:idx val="18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C2AC-4BB1-A468-0C8D7DCE1241}"/>
              </c:ext>
            </c:extLst>
          </c:dPt>
          <c:dPt>
            <c:idx val="19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C2AC-4BB1-A468-0C8D7DCE1241}"/>
              </c:ext>
            </c:extLst>
          </c:dPt>
          <c:dPt>
            <c:idx val="2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C2AC-4BB1-A468-0C8D7DCE1241}"/>
              </c:ext>
            </c:extLst>
          </c:dPt>
          <c:dPt>
            <c:idx val="2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C2AC-4BB1-A468-0C8D7DCE1241}"/>
              </c:ext>
            </c:extLst>
          </c:dPt>
          <c:dPt>
            <c:idx val="2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C2AC-4BB1-A468-0C8D7DCE1241}"/>
              </c:ext>
            </c:extLst>
          </c:dPt>
          <c:dPt>
            <c:idx val="23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C2AC-4BB1-A468-0C8D7DCE1241}"/>
              </c:ext>
            </c:extLst>
          </c:dPt>
          <c:dPt>
            <c:idx val="24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C2AC-4BB1-A468-0C8D7DCE1241}"/>
              </c:ext>
            </c:extLst>
          </c:dPt>
          <c:dPt>
            <c:idx val="25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C2AC-4BB1-A468-0C8D7DCE1241}"/>
              </c:ext>
            </c:extLst>
          </c:dPt>
          <c:dPt>
            <c:idx val="26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C2AC-4BB1-A468-0C8D7DCE1241}"/>
              </c:ext>
            </c:extLst>
          </c:dPt>
          <c:dPt>
            <c:idx val="27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C2AC-4BB1-A468-0C8D7DCE1241}"/>
              </c:ext>
            </c:extLst>
          </c:dPt>
          <c:dPt>
            <c:idx val="28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C2AC-4BB1-A468-0C8D7DCE1241}"/>
              </c:ext>
            </c:extLst>
          </c:dPt>
          <c:dPt>
            <c:idx val="29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C2AC-4BB1-A468-0C8D7DCE1241}"/>
              </c:ext>
            </c:extLst>
          </c:dPt>
          <c:dPt>
            <c:idx val="3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C2AC-4BB1-A468-0C8D7DCE1241}"/>
              </c:ext>
            </c:extLst>
          </c:dPt>
          <c:dPt>
            <c:idx val="3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C2AC-4BB1-A468-0C8D7DCE1241}"/>
              </c:ext>
            </c:extLst>
          </c:dPt>
          <c:dPt>
            <c:idx val="3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C2AC-4BB1-A468-0C8D7DCE1241}"/>
              </c:ext>
            </c:extLst>
          </c:dPt>
          <c:dPt>
            <c:idx val="33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C2AC-4BB1-A468-0C8D7DCE1241}"/>
              </c:ext>
            </c:extLst>
          </c:dPt>
          <c:dPt>
            <c:idx val="34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C2AC-4BB1-A468-0C8D7DCE1241}"/>
              </c:ext>
            </c:extLst>
          </c:dPt>
          <c:dPt>
            <c:idx val="35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C2AC-4BB1-A468-0C8D7DCE1241}"/>
              </c:ext>
            </c:extLst>
          </c:dPt>
          <c:dPt>
            <c:idx val="36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C2AC-4BB1-A468-0C8D7DCE1241}"/>
              </c:ext>
            </c:extLst>
          </c:dPt>
          <c:dPt>
            <c:idx val="37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C2AC-4BB1-A468-0C8D7DCE1241}"/>
              </c:ext>
            </c:extLst>
          </c:dPt>
          <c:dPt>
            <c:idx val="38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C2AC-4BB1-A468-0C8D7DCE1241}"/>
              </c:ext>
            </c:extLst>
          </c:dPt>
          <c:dPt>
            <c:idx val="39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C2AC-4BB1-A468-0C8D7DCE1241}"/>
              </c:ext>
            </c:extLst>
          </c:dPt>
          <c:dPt>
            <c:idx val="4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C2AC-4BB1-A468-0C8D7DCE1241}"/>
              </c:ext>
            </c:extLst>
          </c:dPt>
          <c:dPt>
            <c:idx val="4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C2AC-4BB1-A468-0C8D7DCE1241}"/>
              </c:ext>
            </c:extLst>
          </c:dPt>
          <c:dPt>
            <c:idx val="4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C2AC-4BB1-A468-0C8D7DCE1241}"/>
              </c:ext>
            </c:extLst>
          </c:dPt>
          <c:dPt>
            <c:idx val="43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C2AC-4BB1-A468-0C8D7DCE1241}"/>
              </c:ext>
            </c:extLst>
          </c:dPt>
          <c:dPt>
            <c:idx val="44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C2AC-4BB1-A468-0C8D7DCE1241}"/>
              </c:ext>
            </c:extLst>
          </c:dPt>
          <c:dPt>
            <c:idx val="45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C2AC-4BB1-A468-0C8D7DCE1241}"/>
              </c:ext>
            </c:extLst>
          </c:dPt>
          <c:dPt>
            <c:idx val="46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C2AC-4BB1-A468-0C8D7DCE1241}"/>
              </c:ext>
            </c:extLst>
          </c:dPt>
          <c:dPt>
            <c:idx val="47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C2AC-4BB1-A468-0C8D7DCE1241}"/>
              </c:ext>
            </c:extLst>
          </c:dPt>
          <c:dPt>
            <c:idx val="48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C2AC-4BB1-A468-0C8D7DCE1241}"/>
              </c:ext>
            </c:extLst>
          </c:dPt>
          <c:dPt>
            <c:idx val="49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C2AC-4BB1-A468-0C8D7DCE1241}"/>
              </c:ext>
            </c:extLst>
          </c:dPt>
          <c:dPt>
            <c:idx val="5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C2AC-4BB1-A468-0C8D7DCE1241}"/>
              </c:ext>
            </c:extLst>
          </c:dPt>
          <c:dPt>
            <c:idx val="5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C2AC-4BB1-A468-0C8D7DCE1241}"/>
              </c:ext>
            </c:extLst>
          </c:dPt>
          <c:dPt>
            <c:idx val="5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C2AC-4BB1-A468-0C8D7DCE1241}"/>
              </c:ext>
            </c:extLst>
          </c:dPt>
          <c:dPt>
            <c:idx val="53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C2AC-4BB1-A468-0C8D7DCE1241}"/>
              </c:ext>
            </c:extLst>
          </c:dPt>
          <c:dPt>
            <c:idx val="54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C2AC-4BB1-A468-0C8D7DCE1241}"/>
              </c:ext>
            </c:extLst>
          </c:dPt>
          <c:dPt>
            <c:idx val="55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C2AC-4BB1-A468-0C8D7DCE1241}"/>
              </c:ext>
            </c:extLst>
          </c:dPt>
          <c:dPt>
            <c:idx val="56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C2AC-4BB1-A468-0C8D7DCE1241}"/>
              </c:ext>
            </c:extLst>
          </c:dPt>
          <c:dPt>
            <c:idx val="57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C2AC-4BB1-A468-0C8D7DCE1241}"/>
              </c:ext>
            </c:extLst>
          </c:dPt>
          <c:dPt>
            <c:idx val="58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C2AC-4BB1-A468-0C8D7DCE1241}"/>
              </c:ext>
            </c:extLst>
          </c:dPt>
          <c:dPt>
            <c:idx val="59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C2AC-4BB1-A468-0C8D7DCE1241}"/>
              </c:ext>
            </c:extLst>
          </c:dPt>
          <c:dPt>
            <c:idx val="6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C2AC-4BB1-A468-0C8D7DCE1241}"/>
              </c:ext>
            </c:extLst>
          </c:dPt>
          <c:dPt>
            <c:idx val="6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C2AC-4BB1-A468-0C8D7DCE1241}"/>
              </c:ext>
            </c:extLst>
          </c:dPt>
          <c:dPt>
            <c:idx val="6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C2AC-4BB1-A468-0C8D7DCE1241}"/>
              </c:ext>
            </c:extLst>
          </c:dPt>
          <c:dPt>
            <c:idx val="63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C2AC-4BB1-A468-0C8D7DCE1241}"/>
              </c:ext>
            </c:extLst>
          </c:dPt>
          <c:dPt>
            <c:idx val="64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C2AC-4BB1-A468-0C8D7DCE1241}"/>
              </c:ext>
            </c:extLst>
          </c:dPt>
          <c:dPt>
            <c:idx val="65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C2AC-4BB1-A468-0C8D7DCE1241}"/>
              </c:ext>
            </c:extLst>
          </c:dPt>
          <c:dPt>
            <c:idx val="66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C2AC-4BB1-A468-0C8D7DCE1241}"/>
              </c:ext>
            </c:extLst>
          </c:dPt>
          <c:dPt>
            <c:idx val="67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C2AC-4BB1-A468-0C8D7DCE1241}"/>
              </c:ext>
            </c:extLst>
          </c:dPt>
          <c:dPt>
            <c:idx val="68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C2AC-4BB1-A468-0C8D7DCE1241}"/>
              </c:ext>
            </c:extLst>
          </c:dPt>
          <c:dPt>
            <c:idx val="69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C2AC-4BB1-A468-0C8D7DCE1241}"/>
              </c:ext>
            </c:extLst>
          </c:dPt>
          <c:dPt>
            <c:idx val="7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C2AC-4BB1-A468-0C8D7DCE1241}"/>
              </c:ext>
            </c:extLst>
          </c:dPt>
          <c:dPt>
            <c:idx val="7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C2AC-4BB1-A468-0C8D7DCE1241}"/>
              </c:ext>
            </c:extLst>
          </c:dPt>
          <c:dPt>
            <c:idx val="7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C2AC-4BB1-A468-0C8D7DCE1241}"/>
              </c:ext>
            </c:extLst>
          </c:dPt>
          <c:dPt>
            <c:idx val="73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C2AC-4BB1-A468-0C8D7DCE1241}"/>
              </c:ext>
            </c:extLst>
          </c:dPt>
          <c:dPt>
            <c:idx val="74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C2AC-4BB1-A468-0C8D7DCE1241}"/>
              </c:ext>
            </c:extLst>
          </c:dPt>
          <c:dPt>
            <c:idx val="75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C2AC-4BB1-A468-0C8D7DCE1241}"/>
              </c:ext>
            </c:extLst>
          </c:dPt>
          <c:dPt>
            <c:idx val="76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C2AC-4BB1-A468-0C8D7DCE1241}"/>
              </c:ext>
            </c:extLst>
          </c:dPt>
          <c:dPt>
            <c:idx val="77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C2AC-4BB1-A468-0C8D7DCE1241}"/>
              </c:ext>
            </c:extLst>
          </c:dPt>
          <c:dPt>
            <c:idx val="78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C2AC-4BB1-A468-0C8D7DCE1241}"/>
              </c:ext>
            </c:extLst>
          </c:dPt>
          <c:dPt>
            <c:idx val="79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C2AC-4BB1-A468-0C8D7DCE1241}"/>
              </c:ext>
            </c:extLst>
          </c:dPt>
          <c:dPt>
            <c:idx val="8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C2AC-4BB1-A468-0C8D7DCE1241}"/>
              </c:ext>
            </c:extLst>
          </c:dPt>
          <c:dPt>
            <c:idx val="8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C2AC-4BB1-A468-0C8D7DCE1241}"/>
              </c:ext>
            </c:extLst>
          </c:dPt>
          <c:dPt>
            <c:idx val="8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C2AC-4BB1-A468-0C8D7DCE1241}"/>
              </c:ext>
            </c:extLst>
          </c:dPt>
          <c:dPt>
            <c:idx val="83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C2AC-4BB1-A468-0C8D7DCE1241}"/>
              </c:ext>
            </c:extLst>
          </c:dPt>
          <c:dPt>
            <c:idx val="84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C2AC-4BB1-A468-0C8D7DCE1241}"/>
              </c:ext>
            </c:extLst>
          </c:dPt>
          <c:dPt>
            <c:idx val="85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C2AC-4BB1-A468-0C8D7DCE1241}"/>
              </c:ext>
            </c:extLst>
          </c:dPt>
          <c:dPt>
            <c:idx val="86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C2AC-4BB1-A468-0C8D7DCE1241}"/>
              </c:ext>
            </c:extLst>
          </c:dPt>
          <c:dPt>
            <c:idx val="87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C2AC-4BB1-A468-0C8D7DCE1241}"/>
              </c:ext>
            </c:extLst>
          </c:dPt>
          <c:dPt>
            <c:idx val="88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C2AC-4BB1-A468-0C8D7DCE1241}"/>
              </c:ext>
            </c:extLst>
          </c:dPt>
          <c:dPt>
            <c:idx val="89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C2AC-4BB1-A468-0C8D7DCE1241}"/>
              </c:ext>
            </c:extLst>
          </c:dPt>
          <c:dPt>
            <c:idx val="9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C2AC-4BB1-A468-0C8D7DCE1241}"/>
              </c:ext>
            </c:extLst>
          </c:dPt>
          <c:dPt>
            <c:idx val="9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C2AC-4BB1-A468-0C8D7DCE1241}"/>
              </c:ext>
            </c:extLst>
          </c:dPt>
          <c:dPt>
            <c:idx val="9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C2AC-4BB1-A468-0C8D7DCE1241}"/>
              </c:ext>
            </c:extLst>
          </c:dPt>
          <c:dPt>
            <c:idx val="93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C2AC-4BB1-A468-0C8D7DCE1241}"/>
              </c:ext>
            </c:extLst>
          </c:dPt>
          <c:dPt>
            <c:idx val="94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C2AC-4BB1-A468-0C8D7DCE1241}"/>
              </c:ext>
            </c:extLst>
          </c:dPt>
          <c:dPt>
            <c:idx val="95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C2AC-4BB1-A468-0C8D7DCE1241}"/>
              </c:ext>
            </c:extLst>
          </c:dPt>
          <c:dPt>
            <c:idx val="96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C2AC-4BB1-A468-0C8D7DCE1241}"/>
              </c:ext>
            </c:extLst>
          </c:dPt>
          <c:dPt>
            <c:idx val="97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C2AC-4BB1-A468-0C8D7DCE1241}"/>
              </c:ext>
            </c:extLst>
          </c:dPt>
          <c:dPt>
            <c:idx val="98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C2AC-4BB1-A468-0C8D7DCE1241}"/>
              </c:ext>
            </c:extLst>
          </c:dPt>
          <c:dPt>
            <c:idx val="99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C2AC-4BB1-A468-0C8D7DCE1241}"/>
              </c:ext>
            </c:extLst>
          </c:dPt>
          <c:dPt>
            <c:idx val="10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73-48F8-B2F6-9781C0C51317}"/>
              </c:ext>
            </c:extLst>
          </c:dPt>
          <c:val>
            <c:numRef>
              <c:f>Dashboard!$AP$5:$AP$105</c:f>
              <c:numCache>
                <c:formatCode>General</c:formatCode>
                <c:ptCount val="1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73-48F8-B2F6-9781C0C51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0"/>
      </c:doughnutChart>
      <c:doughnutChart>
        <c:varyColors val="1"/>
        <c:ser>
          <c:idx val="1"/>
          <c:order val="1"/>
          <c:tx>
            <c:strRef>
              <c:f>Dashboard!$AR$4</c:f>
              <c:strCache>
                <c:ptCount val="1"/>
                <c:pt idx="0">
                  <c:v>Colour (Con)</c:v>
                </c:pt>
              </c:strCache>
            </c:strRef>
          </c:tx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B-C2AC-4BB1-A468-0C8D7DCE124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D-C2AC-4BB1-A468-0C8D7DCE124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F-C2AC-4BB1-A468-0C8D7DCE1241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1-C2AC-4BB1-A468-0C8D7DCE1241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3-C2AC-4BB1-A468-0C8D7DCE1241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5-C2AC-4BB1-A468-0C8D7DCE1241}"/>
              </c:ext>
            </c:extLst>
          </c:dPt>
          <c:dPt>
            <c:idx val="6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7-C2AC-4BB1-A468-0C8D7DCE1241}"/>
              </c:ext>
            </c:extLst>
          </c:dPt>
          <c:dPt>
            <c:idx val="7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9-C2AC-4BB1-A468-0C8D7DCE1241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B-C2AC-4BB1-A468-0C8D7DCE1241}"/>
              </c:ext>
            </c:extLst>
          </c:dPt>
          <c:dPt>
            <c:idx val="9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D-C2AC-4BB1-A468-0C8D7DCE1241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F-C2AC-4BB1-A468-0C8D7DCE1241}"/>
              </c:ext>
            </c:extLst>
          </c:dPt>
          <c:dPt>
            <c:idx val="1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1-C2AC-4BB1-A468-0C8D7DCE1241}"/>
              </c:ext>
            </c:extLst>
          </c:dPt>
          <c:dPt>
            <c:idx val="1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3-C2AC-4BB1-A468-0C8D7DCE1241}"/>
              </c:ext>
            </c:extLst>
          </c:dPt>
          <c:dPt>
            <c:idx val="1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5-C2AC-4BB1-A468-0C8D7DCE1241}"/>
              </c:ext>
            </c:extLst>
          </c:dPt>
          <c:dPt>
            <c:idx val="1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7-C2AC-4BB1-A468-0C8D7DCE1241}"/>
              </c:ext>
            </c:extLst>
          </c:dPt>
          <c:dPt>
            <c:idx val="1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9-C2AC-4BB1-A468-0C8D7DCE1241}"/>
              </c:ext>
            </c:extLst>
          </c:dPt>
          <c:dPt>
            <c:idx val="16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B-C2AC-4BB1-A468-0C8D7DCE1241}"/>
              </c:ext>
            </c:extLst>
          </c:dPt>
          <c:dPt>
            <c:idx val="17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D-C2AC-4BB1-A468-0C8D7DCE1241}"/>
              </c:ext>
            </c:extLst>
          </c:dPt>
          <c:dPt>
            <c:idx val="1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F-C2AC-4BB1-A468-0C8D7DCE1241}"/>
              </c:ext>
            </c:extLst>
          </c:dPt>
          <c:dPt>
            <c:idx val="19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1-C2AC-4BB1-A468-0C8D7DCE1241}"/>
              </c:ext>
            </c:extLst>
          </c:dPt>
          <c:dPt>
            <c:idx val="2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3-C2AC-4BB1-A468-0C8D7DCE1241}"/>
              </c:ext>
            </c:extLst>
          </c:dPt>
          <c:dPt>
            <c:idx val="2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5-C2AC-4BB1-A468-0C8D7DCE1241}"/>
              </c:ext>
            </c:extLst>
          </c:dPt>
          <c:dPt>
            <c:idx val="2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7-C2AC-4BB1-A468-0C8D7DCE1241}"/>
              </c:ext>
            </c:extLst>
          </c:dPt>
          <c:dPt>
            <c:idx val="2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9-C2AC-4BB1-A468-0C8D7DCE1241}"/>
              </c:ext>
            </c:extLst>
          </c:dPt>
          <c:dPt>
            <c:idx val="2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B-C2AC-4BB1-A468-0C8D7DCE1241}"/>
              </c:ext>
            </c:extLst>
          </c:dPt>
          <c:dPt>
            <c:idx val="2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D-C2AC-4BB1-A468-0C8D7DCE1241}"/>
              </c:ext>
            </c:extLst>
          </c:dPt>
          <c:dPt>
            <c:idx val="26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F-C2AC-4BB1-A468-0C8D7DCE1241}"/>
              </c:ext>
            </c:extLst>
          </c:dPt>
          <c:dPt>
            <c:idx val="27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1-C2AC-4BB1-A468-0C8D7DCE1241}"/>
              </c:ext>
            </c:extLst>
          </c:dPt>
          <c:dPt>
            <c:idx val="2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3-C2AC-4BB1-A468-0C8D7DCE1241}"/>
              </c:ext>
            </c:extLst>
          </c:dPt>
          <c:dPt>
            <c:idx val="29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5-C2AC-4BB1-A468-0C8D7DCE1241}"/>
              </c:ext>
            </c:extLst>
          </c:dPt>
          <c:dPt>
            <c:idx val="3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7-C2AC-4BB1-A468-0C8D7DCE1241}"/>
              </c:ext>
            </c:extLst>
          </c:dPt>
          <c:dPt>
            <c:idx val="3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9-C2AC-4BB1-A468-0C8D7DCE1241}"/>
              </c:ext>
            </c:extLst>
          </c:dPt>
          <c:dPt>
            <c:idx val="3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B-C2AC-4BB1-A468-0C8D7DCE1241}"/>
              </c:ext>
            </c:extLst>
          </c:dPt>
          <c:dPt>
            <c:idx val="3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D-C2AC-4BB1-A468-0C8D7DCE1241}"/>
              </c:ext>
            </c:extLst>
          </c:dPt>
          <c:dPt>
            <c:idx val="3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F-C2AC-4BB1-A468-0C8D7DCE1241}"/>
              </c:ext>
            </c:extLst>
          </c:dPt>
          <c:dPt>
            <c:idx val="3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1-C2AC-4BB1-A468-0C8D7DCE1241}"/>
              </c:ext>
            </c:extLst>
          </c:dPt>
          <c:dPt>
            <c:idx val="36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3-C2AC-4BB1-A468-0C8D7DCE1241}"/>
              </c:ext>
            </c:extLst>
          </c:dPt>
          <c:dPt>
            <c:idx val="37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5-C2AC-4BB1-A468-0C8D7DCE1241}"/>
              </c:ext>
            </c:extLst>
          </c:dPt>
          <c:dPt>
            <c:idx val="3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7-C2AC-4BB1-A468-0C8D7DCE1241}"/>
              </c:ext>
            </c:extLst>
          </c:dPt>
          <c:dPt>
            <c:idx val="39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9-C2AC-4BB1-A468-0C8D7DCE1241}"/>
              </c:ext>
            </c:extLst>
          </c:dPt>
          <c:dPt>
            <c:idx val="4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B-C2AC-4BB1-A468-0C8D7DCE1241}"/>
              </c:ext>
            </c:extLst>
          </c:dPt>
          <c:dPt>
            <c:idx val="4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D-C2AC-4BB1-A468-0C8D7DCE1241}"/>
              </c:ext>
            </c:extLst>
          </c:dPt>
          <c:dPt>
            <c:idx val="4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F-C2AC-4BB1-A468-0C8D7DCE1241}"/>
              </c:ext>
            </c:extLst>
          </c:dPt>
          <c:dPt>
            <c:idx val="4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1-C2AC-4BB1-A468-0C8D7DCE1241}"/>
              </c:ext>
            </c:extLst>
          </c:dPt>
          <c:dPt>
            <c:idx val="4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3-C2AC-4BB1-A468-0C8D7DCE1241}"/>
              </c:ext>
            </c:extLst>
          </c:dPt>
          <c:dPt>
            <c:idx val="4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5-C2AC-4BB1-A468-0C8D7DCE1241}"/>
              </c:ext>
            </c:extLst>
          </c:dPt>
          <c:dPt>
            <c:idx val="46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7-C2AC-4BB1-A468-0C8D7DCE1241}"/>
              </c:ext>
            </c:extLst>
          </c:dPt>
          <c:dPt>
            <c:idx val="47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9-C2AC-4BB1-A468-0C8D7DCE1241}"/>
              </c:ext>
            </c:extLst>
          </c:dPt>
          <c:dPt>
            <c:idx val="4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B-C2AC-4BB1-A468-0C8D7DCE1241}"/>
              </c:ext>
            </c:extLst>
          </c:dPt>
          <c:dPt>
            <c:idx val="49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D-C2AC-4BB1-A468-0C8D7DCE1241}"/>
              </c:ext>
            </c:extLst>
          </c:dPt>
          <c:dPt>
            <c:idx val="5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F-C2AC-4BB1-A468-0C8D7DCE1241}"/>
              </c:ext>
            </c:extLst>
          </c:dPt>
          <c:dPt>
            <c:idx val="5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1-C2AC-4BB1-A468-0C8D7DCE1241}"/>
              </c:ext>
            </c:extLst>
          </c:dPt>
          <c:dPt>
            <c:idx val="5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3-C2AC-4BB1-A468-0C8D7DCE1241}"/>
              </c:ext>
            </c:extLst>
          </c:dPt>
          <c:dPt>
            <c:idx val="5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5-C2AC-4BB1-A468-0C8D7DCE1241}"/>
              </c:ext>
            </c:extLst>
          </c:dPt>
          <c:dPt>
            <c:idx val="5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7-C2AC-4BB1-A468-0C8D7DCE1241}"/>
              </c:ext>
            </c:extLst>
          </c:dPt>
          <c:dPt>
            <c:idx val="5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9-C2AC-4BB1-A468-0C8D7DCE1241}"/>
              </c:ext>
            </c:extLst>
          </c:dPt>
          <c:dPt>
            <c:idx val="56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B-C2AC-4BB1-A468-0C8D7DCE1241}"/>
              </c:ext>
            </c:extLst>
          </c:dPt>
          <c:dPt>
            <c:idx val="57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D-C2AC-4BB1-A468-0C8D7DCE1241}"/>
              </c:ext>
            </c:extLst>
          </c:dPt>
          <c:dPt>
            <c:idx val="5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F-C2AC-4BB1-A468-0C8D7DCE1241}"/>
              </c:ext>
            </c:extLst>
          </c:dPt>
          <c:dPt>
            <c:idx val="59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1-C2AC-4BB1-A468-0C8D7DCE1241}"/>
              </c:ext>
            </c:extLst>
          </c:dPt>
          <c:dPt>
            <c:idx val="6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3-C2AC-4BB1-A468-0C8D7DCE1241}"/>
              </c:ext>
            </c:extLst>
          </c:dPt>
          <c:dPt>
            <c:idx val="6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5-C2AC-4BB1-A468-0C8D7DCE1241}"/>
              </c:ext>
            </c:extLst>
          </c:dPt>
          <c:dPt>
            <c:idx val="6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7-C2AC-4BB1-A468-0C8D7DCE1241}"/>
              </c:ext>
            </c:extLst>
          </c:dPt>
          <c:dPt>
            <c:idx val="6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9-C2AC-4BB1-A468-0C8D7DCE1241}"/>
              </c:ext>
            </c:extLst>
          </c:dPt>
          <c:dPt>
            <c:idx val="6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B-C2AC-4BB1-A468-0C8D7DCE1241}"/>
              </c:ext>
            </c:extLst>
          </c:dPt>
          <c:dPt>
            <c:idx val="6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D-C2AC-4BB1-A468-0C8D7DCE1241}"/>
              </c:ext>
            </c:extLst>
          </c:dPt>
          <c:dPt>
            <c:idx val="66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F-C2AC-4BB1-A468-0C8D7DCE1241}"/>
              </c:ext>
            </c:extLst>
          </c:dPt>
          <c:dPt>
            <c:idx val="67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1-C2AC-4BB1-A468-0C8D7DCE1241}"/>
              </c:ext>
            </c:extLst>
          </c:dPt>
          <c:dPt>
            <c:idx val="6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3-C2AC-4BB1-A468-0C8D7DCE1241}"/>
              </c:ext>
            </c:extLst>
          </c:dPt>
          <c:dPt>
            <c:idx val="69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5-C2AC-4BB1-A468-0C8D7DCE1241}"/>
              </c:ext>
            </c:extLst>
          </c:dPt>
          <c:dPt>
            <c:idx val="7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7-C2AC-4BB1-A468-0C8D7DCE1241}"/>
              </c:ext>
            </c:extLst>
          </c:dPt>
          <c:dPt>
            <c:idx val="7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9-C2AC-4BB1-A468-0C8D7DCE1241}"/>
              </c:ext>
            </c:extLst>
          </c:dPt>
          <c:dPt>
            <c:idx val="7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B-C2AC-4BB1-A468-0C8D7DCE1241}"/>
              </c:ext>
            </c:extLst>
          </c:dPt>
          <c:dPt>
            <c:idx val="7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D-C2AC-4BB1-A468-0C8D7DCE1241}"/>
              </c:ext>
            </c:extLst>
          </c:dPt>
          <c:dPt>
            <c:idx val="7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F-C2AC-4BB1-A468-0C8D7DCE1241}"/>
              </c:ext>
            </c:extLst>
          </c:dPt>
          <c:dPt>
            <c:idx val="7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1-C2AC-4BB1-A468-0C8D7DCE1241}"/>
              </c:ext>
            </c:extLst>
          </c:dPt>
          <c:dPt>
            <c:idx val="76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3-C2AC-4BB1-A468-0C8D7DCE1241}"/>
              </c:ext>
            </c:extLst>
          </c:dPt>
          <c:dPt>
            <c:idx val="77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5-C2AC-4BB1-A468-0C8D7DCE1241}"/>
              </c:ext>
            </c:extLst>
          </c:dPt>
          <c:dPt>
            <c:idx val="7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7-C2AC-4BB1-A468-0C8D7DCE1241}"/>
              </c:ext>
            </c:extLst>
          </c:dPt>
          <c:dPt>
            <c:idx val="79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9-C2AC-4BB1-A468-0C8D7DCE1241}"/>
              </c:ext>
            </c:extLst>
          </c:dPt>
          <c:dPt>
            <c:idx val="8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B-C2AC-4BB1-A468-0C8D7DCE1241}"/>
              </c:ext>
            </c:extLst>
          </c:dPt>
          <c:dPt>
            <c:idx val="8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D-C2AC-4BB1-A468-0C8D7DCE1241}"/>
              </c:ext>
            </c:extLst>
          </c:dPt>
          <c:dPt>
            <c:idx val="8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F-C2AC-4BB1-A468-0C8D7DCE1241}"/>
              </c:ext>
            </c:extLst>
          </c:dPt>
          <c:dPt>
            <c:idx val="8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1-C2AC-4BB1-A468-0C8D7DCE1241}"/>
              </c:ext>
            </c:extLst>
          </c:dPt>
          <c:dPt>
            <c:idx val="8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3-C2AC-4BB1-A468-0C8D7DCE1241}"/>
              </c:ext>
            </c:extLst>
          </c:dPt>
          <c:dPt>
            <c:idx val="8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5-C2AC-4BB1-A468-0C8D7DCE1241}"/>
              </c:ext>
            </c:extLst>
          </c:dPt>
          <c:dPt>
            <c:idx val="86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7-C2AC-4BB1-A468-0C8D7DCE1241}"/>
              </c:ext>
            </c:extLst>
          </c:dPt>
          <c:dPt>
            <c:idx val="87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9-C2AC-4BB1-A468-0C8D7DCE1241}"/>
              </c:ext>
            </c:extLst>
          </c:dPt>
          <c:dPt>
            <c:idx val="8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B-C2AC-4BB1-A468-0C8D7DCE1241}"/>
              </c:ext>
            </c:extLst>
          </c:dPt>
          <c:dPt>
            <c:idx val="89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D-C2AC-4BB1-A468-0C8D7DCE1241}"/>
              </c:ext>
            </c:extLst>
          </c:dPt>
          <c:dPt>
            <c:idx val="9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F-C2AC-4BB1-A468-0C8D7DCE1241}"/>
              </c:ext>
            </c:extLst>
          </c:dPt>
          <c:dPt>
            <c:idx val="9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1-C2AC-4BB1-A468-0C8D7DCE1241}"/>
              </c:ext>
            </c:extLst>
          </c:dPt>
          <c:dPt>
            <c:idx val="9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3-C2AC-4BB1-A468-0C8D7DCE1241}"/>
              </c:ext>
            </c:extLst>
          </c:dPt>
          <c:dPt>
            <c:idx val="9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5-C2AC-4BB1-A468-0C8D7DCE1241}"/>
              </c:ext>
            </c:extLst>
          </c:dPt>
          <c:dPt>
            <c:idx val="9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7-C2AC-4BB1-A468-0C8D7DCE1241}"/>
              </c:ext>
            </c:extLst>
          </c:dPt>
          <c:dPt>
            <c:idx val="9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9-C2AC-4BB1-A468-0C8D7DCE1241}"/>
              </c:ext>
            </c:extLst>
          </c:dPt>
          <c:dPt>
            <c:idx val="96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B-C2AC-4BB1-A468-0C8D7DCE1241}"/>
              </c:ext>
            </c:extLst>
          </c:dPt>
          <c:dPt>
            <c:idx val="97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D-C2AC-4BB1-A468-0C8D7DCE1241}"/>
              </c:ext>
            </c:extLst>
          </c:dPt>
          <c:dPt>
            <c:idx val="9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F-C2AC-4BB1-A468-0C8D7DCE1241}"/>
              </c:ext>
            </c:extLst>
          </c:dPt>
          <c:dPt>
            <c:idx val="99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1-C2AC-4BB1-A468-0C8D7DCE1241}"/>
              </c:ext>
            </c:extLst>
          </c:dPt>
          <c:dPt>
            <c:idx val="10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773-48F8-B2F6-9781C0C51317}"/>
              </c:ext>
            </c:extLst>
          </c:dPt>
          <c:val>
            <c:numRef>
              <c:f>Dashboard!$AR$5:$AR$105</c:f>
              <c:numCache>
                <c:formatCode>General</c:formatCode>
                <c:ptCount val="1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124.548679364649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73-48F8-B2F6-9781C0C51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THIS MONTH'S</a:t>
            </a:r>
            <a:r>
              <a:rPr lang="en-US" b="1" baseline="0"/>
              <a:t> </a:t>
            </a:r>
          </a:p>
          <a:p>
            <a:pPr>
              <a:defRPr/>
            </a:pPr>
            <a:r>
              <a:rPr lang="en-US" b="1"/>
              <a:t>SOLAR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Dashboard!$AK$4</c:f>
              <c:strCache>
                <c:ptCount val="1"/>
                <c:pt idx="0">
                  <c:v>Grey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FDC-4A24-ABF5-205B831F7CA2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FDC-4A24-ABF5-205B831F7CA2}"/>
              </c:ext>
            </c:extLst>
          </c:dPt>
          <c:dPt>
            <c:idx val="2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FDC-4A24-ABF5-205B831F7CA2}"/>
              </c:ext>
            </c:extLst>
          </c:dPt>
          <c:dPt>
            <c:idx val="3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FDC-4A24-ABF5-205B831F7CA2}"/>
              </c:ext>
            </c:extLst>
          </c:dPt>
          <c:dPt>
            <c:idx val="4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FDC-4A24-ABF5-205B831F7CA2}"/>
              </c:ext>
            </c:extLst>
          </c:dPt>
          <c:dPt>
            <c:idx val="5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FDC-4A24-ABF5-205B831F7CA2}"/>
              </c:ext>
            </c:extLst>
          </c:dPt>
          <c:dPt>
            <c:idx val="6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FDC-4A24-ABF5-205B831F7CA2}"/>
              </c:ext>
            </c:extLst>
          </c:dPt>
          <c:dPt>
            <c:idx val="7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FDC-4A24-ABF5-205B831F7CA2}"/>
              </c:ext>
            </c:extLst>
          </c:dPt>
          <c:dPt>
            <c:idx val="8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FDC-4A24-ABF5-205B831F7CA2}"/>
              </c:ext>
            </c:extLst>
          </c:dPt>
          <c:dPt>
            <c:idx val="9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FDC-4A24-ABF5-205B831F7CA2}"/>
              </c:ext>
            </c:extLst>
          </c:dPt>
          <c:dPt>
            <c:idx val="10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FDC-4A24-ABF5-205B831F7CA2}"/>
              </c:ext>
            </c:extLst>
          </c:dPt>
          <c:dPt>
            <c:idx val="1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FDC-4A24-ABF5-205B831F7CA2}"/>
              </c:ext>
            </c:extLst>
          </c:dPt>
          <c:dPt>
            <c:idx val="12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3FDC-4A24-ABF5-205B831F7CA2}"/>
              </c:ext>
            </c:extLst>
          </c:dPt>
          <c:dPt>
            <c:idx val="13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3FDC-4A24-ABF5-205B831F7CA2}"/>
              </c:ext>
            </c:extLst>
          </c:dPt>
          <c:dPt>
            <c:idx val="14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3FDC-4A24-ABF5-205B831F7CA2}"/>
              </c:ext>
            </c:extLst>
          </c:dPt>
          <c:dPt>
            <c:idx val="15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3FDC-4A24-ABF5-205B831F7CA2}"/>
              </c:ext>
            </c:extLst>
          </c:dPt>
          <c:dPt>
            <c:idx val="16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3FDC-4A24-ABF5-205B831F7CA2}"/>
              </c:ext>
            </c:extLst>
          </c:dPt>
          <c:dPt>
            <c:idx val="17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3FDC-4A24-ABF5-205B831F7CA2}"/>
              </c:ext>
            </c:extLst>
          </c:dPt>
          <c:dPt>
            <c:idx val="18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3FDC-4A24-ABF5-205B831F7CA2}"/>
              </c:ext>
            </c:extLst>
          </c:dPt>
          <c:dPt>
            <c:idx val="19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3FDC-4A24-ABF5-205B831F7CA2}"/>
              </c:ext>
            </c:extLst>
          </c:dPt>
          <c:dPt>
            <c:idx val="20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3FDC-4A24-ABF5-205B831F7CA2}"/>
              </c:ext>
            </c:extLst>
          </c:dPt>
          <c:dPt>
            <c:idx val="2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3FDC-4A24-ABF5-205B831F7CA2}"/>
              </c:ext>
            </c:extLst>
          </c:dPt>
          <c:dPt>
            <c:idx val="22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3FDC-4A24-ABF5-205B831F7CA2}"/>
              </c:ext>
            </c:extLst>
          </c:dPt>
          <c:dPt>
            <c:idx val="23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3FDC-4A24-ABF5-205B831F7CA2}"/>
              </c:ext>
            </c:extLst>
          </c:dPt>
          <c:dPt>
            <c:idx val="24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3FDC-4A24-ABF5-205B831F7CA2}"/>
              </c:ext>
            </c:extLst>
          </c:dPt>
          <c:dPt>
            <c:idx val="25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3FDC-4A24-ABF5-205B831F7CA2}"/>
              </c:ext>
            </c:extLst>
          </c:dPt>
          <c:dPt>
            <c:idx val="26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3FDC-4A24-ABF5-205B831F7CA2}"/>
              </c:ext>
            </c:extLst>
          </c:dPt>
          <c:dPt>
            <c:idx val="27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3FDC-4A24-ABF5-205B831F7CA2}"/>
              </c:ext>
            </c:extLst>
          </c:dPt>
          <c:dPt>
            <c:idx val="28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3FDC-4A24-ABF5-205B831F7CA2}"/>
              </c:ext>
            </c:extLst>
          </c:dPt>
          <c:dPt>
            <c:idx val="29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3FDC-4A24-ABF5-205B831F7CA2}"/>
              </c:ext>
            </c:extLst>
          </c:dPt>
          <c:dPt>
            <c:idx val="30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3FDC-4A24-ABF5-205B831F7CA2}"/>
              </c:ext>
            </c:extLst>
          </c:dPt>
          <c:dPt>
            <c:idx val="3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3FDC-4A24-ABF5-205B831F7CA2}"/>
              </c:ext>
            </c:extLst>
          </c:dPt>
          <c:dPt>
            <c:idx val="32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3FDC-4A24-ABF5-205B831F7CA2}"/>
              </c:ext>
            </c:extLst>
          </c:dPt>
          <c:dPt>
            <c:idx val="33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3FDC-4A24-ABF5-205B831F7CA2}"/>
              </c:ext>
            </c:extLst>
          </c:dPt>
          <c:dPt>
            <c:idx val="34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3FDC-4A24-ABF5-205B831F7CA2}"/>
              </c:ext>
            </c:extLst>
          </c:dPt>
          <c:dPt>
            <c:idx val="35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3FDC-4A24-ABF5-205B831F7CA2}"/>
              </c:ext>
            </c:extLst>
          </c:dPt>
          <c:dPt>
            <c:idx val="36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3FDC-4A24-ABF5-205B831F7CA2}"/>
              </c:ext>
            </c:extLst>
          </c:dPt>
          <c:dPt>
            <c:idx val="37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3FDC-4A24-ABF5-205B831F7CA2}"/>
              </c:ext>
            </c:extLst>
          </c:dPt>
          <c:dPt>
            <c:idx val="38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3FDC-4A24-ABF5-205B831F7CA2}"/>
              </c:ext>
            </c:extLst>
          </c:dPt>
          <c:dPt>
            <c:idx val="39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3FDC-4A24-ABF5-205B831F7CA2}"/>
              </c:ext>
            </c:extLst>
          </c:dPt>
          <c:dPt>
            <c:idx val="40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3FDC-4A24-ABF5-205B831F7CA2}"/>
              </c:ext>
            </c:extLst>
          </c:dPt>
          <c:dPt>
            <c:idx val="4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3FDC-4A24-ABF5-205B831F7CA2}"/>
              </c:ext>
            </c:extLst>
          </c:dPt>
          <c:dPt>
            <c:idx val="42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3FDC-4A24-ABF5-205B831F7CA2}"/>
              </c:ext>
            </c:extLst>
          </c:dPt>
          <c:dPt>
            <c:idx val="43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3FDC-4A24-ABF5-205B831F7CA2}"/>
              </c:ext>
            </c:extLst>
          </c:dPt>
          <c:dPt>
            <c:idx val="44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3FDC-4A24-ABF5-205B831F7CA2}"/>
              </c:ext>
            </c:extLst>
          </c:dPt>
          <c:dPt>
            <c:idx val="45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3FDC-4A24-ABF5-205B831F7CA2}"/>
              </c:ext>
            </c:extLst>
          </c:dPt>
          <c:dPt>
            <c:idx val="46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3FDC-4A24-ABF5-205B831F7CA2}"/>
              </c:ext>
            </c:extLst>
          </c:dPt>
          <c:dPt>
            <c:idx val="47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3FDC-4A24-ABF5-205B831F7CA2}"/>
              </c:ext>
            </c:extLst>
          </c:dPt>
          <c:dPt>
            <c:idx val="48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3FDC-4A24-ABF5-205B831F7CA2}"/>
              </c:ext>
            </c:extLst>
          </c:dPt>
          <c:dPt>
            <c:idx val="49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3FDC-4A24-ABF5-205B831F7CA2}"/>
              </c:ext>
            </c:extLst>
          </c:dPt>
          <c:dPt>
            <c:idx val="50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3FDC-4A24-ABF5-205B831F7CA2}"/>
              </c:ext>
            </c:extLst>
          </c:dPt>
          <c:dPt>
            <c:idx val="5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3FDC-4A24-ABF5-205B831F7CA2}"/>
              </c:ext>
            </c:extLst>
          </c:dPt>
          <c:dPt>
            <c:idx val="52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3FDC-4A24-ABF5-205B831F7CA2}"/>
              </c:ext>
            </c:extLst>
          </c:dPt>
          <c:dPt>
            <c:idx val="53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3FDC-4A24-ABF5-205B831F7CA2}"/>
              </c:ext>
            </c:extLst>
          </c:dPt>
          <c:dPt>
            <c:idx val="54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3FDC-4A24-ABF5-205B831F7CA2}"/>
              </c:ext>
            </c:extLst>
          </c:dPt>
          <c:dPt>
            <c:idx val="55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3FDC-4A24-ABF5-205B831F7CA2}"/>
              </c:ext>
            </c:extLst>
          </c:dPt>
          <c:dPt>
            <c:idx val="56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3FDC-4A24-ABF5-205B831F7CA2}"/>
              </c:ext>
            </c:extLst>
          </c:dPt>
          <c:dPt>
            <c:idx val="57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3FDC-4A24-ABF5-205B831F7CA2}"/>
              </c:ext>
            </c:extLst>
          </c:dPt>
          <c:dPt>
            <c:idx val="58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3FDC-4A24-ABF5-205B831F7CA2}"/>
              </c:ext>
            </c:extLst>
          </c:dPt>
          <c:dPt>
            <c:idx val="59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3FDC-4A24-ABF5-205B831F7CA2}"/>
              </c:ext>
            </c:extLst>
          </c:dPt>
          <c:dPt>
            <c:idx val="60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3FDC-4A24-ABF5-205B831F7CA2}"/>
              </c:ext>
            </c:extLst>
          </c:dPt>
          <c:dPt>
            <c:idx val="6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3FDC-4A24-ABF5-205B831F7CA2}"/>
              </c:ext>
            </c:extLst>
          </c:dPt>
          <c:dPt>
            <c:idx val="62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3FDC-4A24-ABF5-205B831F7CA2}"/>
              </c:ext>
            </c:extLst>
          </c:dPt>
          <c:dPt>
            <c:idx val="63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3FDC-4A24-ABF5-205B831F7CA2}"/>
              </c:ext>
            </c:extLst>
          </c:dPt>
          <c:dPt>
            <c:idx val="64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3FDC-4A24-ABF5-205B831F7CA2}"/>
              </c:ext>
            </c:extLst>
          </c:dPt>
          <c:dPt>
            <c:idx val="65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3FDC-4A24-ABF5-205B831F7CA2}"/>
              </c:ext>
            </c:extLst>
          </c:dPt>
          <c:dPt>
            <c:idx val="66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3FDC-4A24-ABF5-205B831F7CA2}"/>
              </c:ext>
            </c:extLst>
          </c:dPt>
          <c:dPt>
            <c:idx val="67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3FDC-4A24-ABF5-205B831F7CA2}"/>
              </c:ext>
            </c:extLst>
          </c:dPt>
          <c:dPt>
            <c:idx val="68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3FDC-4A24-ABF5-205B831F7CA2}"/>
              </c:ext>
            </c:extLst>
          </c:dPt>
          <c:dPt>
            <c:idx val="69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3FDC-4A24-ABF5-205B831F7CA2}"/>
              </c:ext>
            </c:extLst>
          </c:dPt>
          <c:dPt>
            <c:idx val="70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3FDC-4A24-ABF5-205B831F7CA2}"/>
              </c:ext>
            </c:extLst>
          </c:dPt>
          <c:dPt>
            <c:idx val="7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3FDC-4A24-ABF5-205B831F7CA2}"/>
              </c:ext>
            </c:extLst>
          </c:dPt>
          <c:dPt>
            <c:idx val="72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3FDC-4A24-ABF5-205B831F7CA2}"/>
              </c:ext>
            </c:extLst>
          </c:dPt>
          <c:dPt>
            <c:idx val="73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3FDC-4A24-ABF5-205B831F7CA2}"/>
              </c:ext>
            </c:extLst>
          </c:dPt>
          <c:dPt>
            <c:idx val="74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3FDC-4A24-ABF5-205B831F7CA2}"/>
              </c:ext>
            </c:extLst>
          </c:dPt>
          <c:dPt>
            <c:idx val="75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3FDC-4A24-ABF5-205B831F7CA2}"/>
              </c:ext>
            </c:extLst>
          </c:dPt>
          <c:dPt>
            <c:idx val="76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3FDC-4A24-ABF5-205B831F7CA2}"/>
              </c:ext>
            </c:extLst>
          </c:dPt>
          <c:dPt>
            <c:idx val="77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3FDC-4A24-ABF5-205B831F7CA2}"/>
              </c:ext>
            </c:extLst>
          </c:dPt>
          <c:dPt>
            <c:idx val="78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3FDC-4A24-ABF5-205B831F7CA2}"/>
              </c:ext>
            </c:extLst>
          </c:dPt>
          <c:dPt>
            <c:idx val="79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3FDC-4A24-ABF5-205B831F7CA2}"/>
              </c:ext>
            </c:extLst>
          </c:dPt>
          <c:dPt>
            <c:idx val="80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3FDC-4A24-ABF5-205B831F7CA2}"/>
              </c:ext>
            </c:extLst>
          </c:dPt>
          <c:dPt>
            <c:idx val="8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3FDC-4A24-ABF5-205B831F7CA2}"/>
              </c:ext>
            </c:extLst>
          </c:dPt>
          <c:dPt>
            <c:idx val="82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3FDC-4A24-ABF5-205B831F7CA2}"/>
              </c:ext>
            </c:extLst>
          </c:dPt>
          <c:dPt>
            <c:idx val="83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3FDC-4A24-ABF5-205B831F7CA2}"/>
              </c:ext>
            </c:extLst>
          </c:dPt>
          <c:dPt>
            <c:idx val="84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3FDC-4A24-ABF5-205B831F7CA2}"/>
              </c:ext>
            </c:extLst>
          </c:dPt>
          <c:dPt>
            <c:idx val="85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3FDC-4A24-ABF5-205B831F7CA2}"/>
              </c:ext>
            </c:extLst>
          </c:dPt>
          <c:dPt>
            <c:idx val="86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3FDC-4A24-ABF5-205B831F7CA2}"/>
              </c:ext>
            </c:extLst>
          </c:dPt>
          <c:dPt>
            <c:idx val="87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3FDC-4A24-ABF5-205B831F7CA2}"/>
              </c:ext>
            </c:extLst>
          </c:dPt>
          <c:dPt>
            <c:idx val="88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3FDC-4A24-ABF5-205B831F7CA2}"/>
              </c:ext>
            </c:extLst>
          </c:dPt>
          <c:dPt>
            <c:idx val="89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3FDC-4A24-ABF5-205B831F7CA2}"/>
              </c:ext>
            </c:extLst>
          </c:dPt>
          <c:dPt>
            <c:idx val="90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3FDC-4A24-ABF5-205B831F7CA2}"/>
              </c:ext>
            </c:extLst>
          </c:dPt>
          <c:dPt>
            <c:idx val="9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3FDC-4A24-ABF5-205B831F7CA2}"/>
              </c:ext>
            </c:extLst>
          </c:dPt>
          <c:dPt>
            <c:idx val="92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3FDC-4A24-ABF5-205B831F7CA2}"/>
              </c:ext>
            </c:extLst>
          </c:dPt>
          <c:dPt>
            <c:idx val="93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3FDC-4A24-ABF5-205B831F7CA2}"/>
              </c:ext>
            </c:extLst>
          </c:dPt>
          <c:dPt>
            <c:idx val="94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3FDC-4A24-ABF5-205B831F7CA2}"/>
              </c:ext>
            </c:extLst>
          </c:dPt>
          <c:dPt>
            <c:idx val="95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3FDC-4A24-ABF5-205B831F7CA2}"/>
              </c:ext>
            </c:extLst>
          </c:dPt>
          <c:dPt>
            <c:idx val="96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3FDC-4A24-ABF5-205B831F7CA2}"/>
              </c:ext>
            </c:extLst>
          </c:dPt>
          <c:dPt>
            <c:idx val="97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3FDC-4A24-ABF5-205B831F7CA2}"/>
              </c:ext>
            </c:extLst>
          </c:dPt>
          <c:dPt>
            <c:idx val="98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3FDC-4A24-ABF5-205B831F7CA2}"/>
              </c:ext>
            </c:extLst>
          </c:dPt>
          <c:dPt>
            <c:idx val="99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3FDC-4A24-ABF5-205B831F7CA2}"/>
              </c:ext>
            </c:extLst>
          </c:dPt>
          <c:dPt>
            <c:idx val="10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9-3FDC-4A24-ABF5-205B831F7CA2}"/>
              </c:ext>
            </c:extLst>
          </c:dPt>
          <c:val>
            <c:numRef>
              <c:f>Dashboard!$AK$5:$AK$105</c:f>
              <c:numCache>
                <c:formatCode>General</c:formatCode>
                <c:ptCount val="1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A-3FDC-4A24-ABF5-205B831F7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1"/>
      </c:doughnutChart>
      <c:doughnutChart>
        <c:varyColors val="1"/>
        <c:ser>
          <c:idx val="1"/>
          <c:order val="1"/>
          <c:tx>
            <c:strRef>
              <c:f>Dashboard!$AL$4</c:f>
              <c:strCache>
                <c:ptCount val="1"/>
                <c:pt idx="0">
                  <c:v>Colour (Pro)</c:v>
                </c:pt>
              </c:strCache>
            </c:strRef>
          </c:tx>
          <c:spPr>
            <a:solidFill>
              <a:srgbClr val="92D050"/>
            </a:solidFill>
          </c:spPr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C-3FDC-4A24-ABF5-205B831F7CA2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E-3FDC-4A24-ABF5-205B831F7CA2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0-3FDC-4A24-ABF5-205B831F7CA2}"/>
              </c:ext>
            </c:extLst>
          </c:dPt>
          <c:dPt>
            <c:idx val="3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2-3FDC-4A24-ABF5-205B831F7CA2}"/>
              </c:ext>
            </c:extLst>
          </c:dPt>
          <c:dPt>
            <c:idx val="4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4-3FDC-4A24-ABF5-205B831F7CA2}"/>
              </c:ext>
            </c:extLst>
          </c:dPt>
          <c:dPt>
            <c:idx val="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6-3FDC-4A24-ABF5-205B831F7CA2}"/>
              </c:ext>
            </c:extLst>
          </c:dPt>
          <c:dPt>
            <c:idx val="6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8-3FDC-4A24-ABF5-205B831F7CA2}"/>
              </c:ext>
            </c:extLst>
          </c:dPt>
          <c:dPt>
            <c:idx val="7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A-3FDC-4A24-ABF5-205B831F7CA2}"/>
              </c:ext>
            </c:extLst>
          </c:dPt>
          <c:dPt>
            <c:idx val="8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C-3FDC-4A24-ABF5-205B831F7CA2}"/>
              </c:ext>
            </c:extLst>
          </c:dPt>
          <c:dPt>
            <c:idx val="9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E-3FDC-4A24-ABF5-205B831F7CA2}"/>
              </c:ext>
            </c:extLst>
          </c:dPt>
          <c:dPt>
            <c:idx val="1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0-3FDC-4A24-ABF5-205B831F7CA2}"/>
              </c:ext>
            </c:extLst>
          </c:dPt>
          <c:dPt>
            <c:idx val="1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2-3FDC-4A24-ABF5-205B831F7CA2}"/>
              </c:ext>
            </c:extLst>
          </c:dPt>
          <c:dPt>
            <c:idx val="1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4-3FDC-4A24-ABF5-205B831F7CA2}"/>
              </c:ext>
            </c:extLst>
          </c:dPt>
          <c:dPt>
            <c:idx val="13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6-3FDC-4A24-ABF5-205B831F7CA2}"/>
              </c:ext>
            </c:extLst>
          </c:dPt>
          <c:dPt>
            <c:idx val="14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8-3FDC-4A24-ABF5-205B831F7CA2}"/>
              </c:ext>
            </c:extLst>
          </c:dPt>
          <c:dPt>
            <c:idx val="1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A-3FDC-4A24-ABF5-205B831F7CA2}"/>
              </c:ext>
            </c:extLst>
          </c:dPt>
          <c:dPt>
            <c:idx val="16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C-3FDC-4A24-ABF5-205B831F7CA2}"/>
              </c:ext>
            </c:extLst>
          </c:dPt>
          <c:dPt>
            <c:idx val="17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E-3FDC-4A24-ABF5-205B831F7CA2}"/>
              </c:ext>
            </c:extLst>
          </c:dPt>
          <c:dPt>
            <c:idx val="18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0-3FDC-4A24-ABF5-205B831F7CA2}"/>
              </c:ext>
            </c:extLst>
          </c:dPt>
          <c:dPt>
            <c:idx val="19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2-3FDC-4A24-ABF5-205B831F7CA2}"/>
              </c:ext>
            </c:extLst>
          </c:dPt>
          <c:dPt>
            <c:idx val="2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4-3FDC-4A24-ABF5-205B831F7CA2}"/>
              </c:ext>
            </c:extLst>
          </c:dPt>
          <c:dPt>
            <c:idx val="2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6-3FDC-4A24-ABF5-205B831F7CA2}"/>
              </c:ext>
            </c:extLst>
          </c:dPt>
          <c:dPt>
            <c:idx val="2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8-3FDC-4A24-ABF5-205B831F7CA2}"/>
              </c:ext>
            </c:extLst>
          </c:dPt>
          <c:dPt>
            <c:idx val="23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A-3FDC-4A24-ABF5-205B831F7CA2}"/>
              </c:ext>
            </c:extLst>
          </c:dPt>
          <c:dPt>
            <c:idx val="24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C-3FDC-4A24-ABF5-205B831F7CA2}"/>
              </c:ext>
            </c:extLst>
          </c:dPt>
          <c:dPt>
            <c:idx val="2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E-3FDC-4A24-ABF5-205B831F7CA2}"/>
              </c:ext>
            </c:extLst>
          </c:dPt>
          <c:dPt>
            <c:idx val="26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0-3FDC-4A24-ABF5-205B831F7CA2}"/>
              </c:ext>
            </c:extLst>
          </c:dPt>
          <c:dPt>
            <c:idx val="27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2-3FDC-4A24-ABF5-205B831F7CA2}"/>
              </c:ext>
            </c:extLst>
          </c:dPt>
          <c:dPt>
            <c:idx val="28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4-3FDC-4A24-ABF5-205B831F7CA2}"/>
              </c:ext>
            </c:extLst>
          </c:dPt>
          <c:dPt>
            <c:idx val="29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6-3FDC-4A24-ABF5-205B831F7CA2}"/>
              </c:ext>
            </c:extLst>
          </c:dPt>
          <c:dPt>
            <c:idx val="3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8-3FDC-4A24-ABF5-205B831F7CA2}"/>
              </c:ext>
            </c:extLst>
          </c:dPt>
          <c:dPt>
            <c:idx val="3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A-3FDC-4A24-ABF5-205B831F7CA2}"/>
              </c:ext>
            </c:extLst>
          </c:dPt>
          <c:dPt>
            <c:idx val="3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C-3FDC-4A24-ABF5-205B831F7CA2}"/>
              </c:ext>
            </c:extLst>
          </c:dPt>
          <c:dPt>
            <c:idx val="33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E-3FDC-4A24-ABF5-205B831F7CA2}"/>
              </c:ext>
            </c:extLst>
          </c:dPt>
          <c:dPt>
            <c:idx val="34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0-3FDC-4A24-ABF5-205B831F7CA2}"/>
              </c:ext>
            </c:extLst>
          </c:dPt>
          <c:dPt>
            <c:idx val="3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2-3FDC-4A24-ABF5-205B831F7CA2}"/>
              </c:ext>
            </c:extLst>
          </c:dPt>
          <c:dPt>
            <c:idx val="36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4-3FDC-4A24-ABF5-205B831F7CA2}"/>
              </c:ext>
            </c:extLst>
          </c:dPt>
          <c:dPt>
            <c:idx val="37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6-3FDC-4A24-ABF5-205B831F7CA2}"/>
              </c:ext>
            </c:extLst>
          </c:dPt>
          <c:dPt>
            <c:idx val="38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8-3FDC-4A24-ABF5-205B831F7CA2}"/>
              </c:ext>
            </c:extLst>
          </c:dPt>
          <c:dPt>
            <c:idx val="39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A-3FDC-4A24-ABF5-205B831F7CA2}"/>
              </c:ext>
            </c:extLst>
          </c:dPt>
          <c:dPt>
            <c:idx val="4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C-3FDC-4A24-ABF5-205B831F7CA2}"/>
              </c:ext>
            </c:extLst>
          </c:dPt>
          <c:dPt>
            <c:idx val="4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E-3FDC-4A24-ABF5-205B831F7CA2}"/>
              </c:ext>
            </c:extLst>
          </c:dPt>
          <c:dPt>
            <c:idx val="4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0-3FDC-4A24-ABF5-205B831F7CA2}"/>
              </c:ext>
            </c:extLst>
          </c:dPt>
          <c:dPt>
            <c:idx val="43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2-3FDC-4A24-ABF5-205B831F7CA2}"/>
              </c:ext>
            </c:extLst>
          </c:dPt>
          <c:dPt>
            <c:idx val="44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4-3FDC-4A24-ABF5-205B831F7CA2}"/>
              </c:ext>
            </c:extLst>
          </c:dPt>
          <c:dPt>
            <c:idx val="4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6-3FDC-4A24-ABF5-205B831F7CA2}"/>
              </c:ext>
            </c:extLst>
          </c:dPt>
          <c:dPt>
            <c:idx val="46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8-3FDC-4A24-ABF5-205B831F7CA2}"/>
              </c:ext>
            </c:extLst>
          </c:dPt>
          <c:dPt>
            <c:idx val="47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A-3FDC-4A24-ABF5-205B831F7CA2}"/>
              </c:ext>
            </c:extLst>
          </c:dPt>
          <c:dPt>
            <c:idx val="48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C-3FDC-4A24-ABF5-205B831F7CA2}"/>
              </c:ext>
            </c:extLst>
          </c:dPt>
          <c:dPt>
            <c:idx val="49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E-3FDC-4A24-ABF5-205B831F7CA2}"/>
              </c:ext>
            </c:extLst>
          </c:dPt>
          <c:dPt>
            <c:idx val="5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0-3FDC-4A24-ABF5-205B831F7CA2}"/>
              </c:ext>
            </c:extLst>
          </c:dPt>
          <c:dPt>
            <c:idx val="5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2-3FDC-4A24-ABF5-205B831F7CA2}"/>
              </c:ext>
            </c:extLst>
          </c:dPt>
          <c:dPt>
            <c:idx val="5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4-3FDC-4A24-ABF5-205B831F7CA2}"/>
              </c:ext>
            </c:extLst>
          </c:dPt>
          <c:dPt>
            <c:idx val="53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6-3FDC-4A24-ABF5-205B831F7CA2}"/>
              </c:ext>
            </c:extLst>
          </c:dPt>
          <c:dPt>
            <c:idx val="54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8-3FDC-4A24-ABF5-205B831F7CA2}"/>
              </c:ext>
            </c:extLst>
          </c:dPt>
          <c:dPt>
            <c:idx val="5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A-3FDC-4A24-ABF5-205B831F7CA2}"/>
              </c:ext>
            </c:extLst>
          </c:dPt>
          <c:dPt>
            <c:idx val="56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C-3FDC-4A24-ABF5-205B831F7CA2}"/>
              </c:ext>
            </c:extLst>
          </c:dPt>
          <c:dPt>
            <c:idx val="57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E-3FDC-4A24-ABF5-205B831F7CA2}"/>
              </c:ext>
            </c:extLst>
          </c:dPt>
          <c:dPt>
            <c:idx val="58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0-3FDC-4A24-ABF5-205B831F7CA2}"/>
              </c:ext>
            </c:extLst>
          </c:dPt>
          <c:dPt>
            <c:idx val="59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2-3FDC-4A24-ABF5-205B831F7CA2}"/>
              </c:ext>
            </c:extLst>
          </c:dPt>
          <c:dPt>
            <c:idx val="6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4-3FDC-4A24-ABF5-205B831F7CA2}"/>
              </c:ext>
            </c:extLst>
          </c:dPt>
          <c:dPt>
            <c:idx val="6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6-3FDC-4A24-ABF5-205B831F7CA2}"/>
              </c:ext>
            </c:extLst>
          </c:dPt>
          <c:dPt>
            <c:idx val="6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8-3FDC-4A24-ABF5-205B831F7CA2}"/>
              </c:ext>
            </c:extLst>
          </c:dPt>
          <c:dPt>
            <c:idx val="63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A-3FDC-4A24-ABF5-205B831F7CA2}"/>
              </c:ext>
            </c:extLst>
          </c:dPt>
          <c:dPt>
            <c:idx val="64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C-3FDC-4A24-ABF5-205B831F7CA2}"/>
              </c:ext>
            </c:extLst>
          </c:dPt>
          <c:dPt>
            <c:idx val="6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E-3FDC-4A24-ABF5-205B831F7CA2}"/>
              </c:ext>
            </c:extLst>
          </c:dPt>
          <c:dPt>
            <c:idx val="66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0-3FDC-4A24-ABF5-205B831F7CA2}"/>
              </c:ext>
            </c:extLst>
          </c:dPt>
          <c:dPt>
            <c:idx val="67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2-3FDC-4A24-ABF5-205B831F7CA2}"/>
              </c:ext>
            </c:extLst>
          </c:dPt>
          <c:dPt>
            <c:idx val="68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4-3FDC-4A24-ABF5-205B831F7CA2}"/>
              </c:ext>
            </c:extLst>
          </c:dPt>
          <c:dPt>
            <c:idx val="69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6-3FDC-4A24-ABF5-205B831F7CA2}"/>
              </c:ext>
            </c:extLst>
          </c:dPt>
          <c:dPt>
            <c:idx val="7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8-3FDC-4A24-ABF5-205B831F7CA2}"/>
              </c:ext>
            </c:extLst>
          </c:dPt>
          <c:dPt>
            <c:idx val="7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A-3FDC-4A24-ABF5-205B831F7CA2}"/>
              </c:ext>
            </c:extLst>
          </c:dPt>
          <c:dPt>
            <c:idx val="7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C-3FDC-4A24-ABF5-205B831F7CA2}"/>
              </c:ext>
            </c:extLst>
          </c:dPt>
          <c:dPt>
            <c:idx val="73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E-3FDC-4A24-ABF5-205B831F7CA2}"/>
              </c:ext>
            </c:extLst>
          </c:dPt>
          <c:dPt>
            <c:idx val="74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0-3FDC-4A24-ABF5-205B831F7CA2}"/>
              </c:ext>
            </c:extLst>
          </c:dPt>
          <c:dPt>
            <c:idx val="7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2-3FDC-4A24-ABF5-205B831F7CA2}"/>
              </c:ext>
            </c:extLst>
          </c:dPt>
          <c:dPt>
            <c:idx val="76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4-3FDC-4A24-ABF5-205B831F7CA2}"/>
              </c:ext>
            </c:extLst>
          </c:dPt>
          <c:dPt>
            <c:idx val="77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6-3FDC-4A24-ABF5-205B831F7CA2}"/>
              </c:ext>
            </c:extLst>
          </c:dPt>
          <c:dPt>
            <c:idx val="78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8-3FDC-4A24-ABF5-205B831F7CA2}"/>
              </c:ext>
            </c:extLst>
          </c:dPt>
          <c:dPt>
            <c:idx val="79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A-3FDC-4A24-ABF5-205B831F7CA2}"/>
              </c:ext>
            </c:extLst>
          </c:dPt>
          <c:dPt>
            <c:idx val="8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C-3FDC-4A24-ABF5-205B831F7CA2}"/>
              </c:ext>
            </c:extLst>
          </c:dPt>
          <c:dPt>
            <c:idx val="8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E-3FDC-4A24-ABF5-205B831F7CA2}"/>
              </c:ext>
            </c:extLst>
          </c:dPt>
          <c:dPt>
            <c:idx val="8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0-3FDC-4A24-ABF5-205B831F7CA2}"/>
              </c:ext>
            </c:extLst>
          </c:dPt>
          <c:dPt>
            <c:idx val="83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2-3FDC-4A24-ABF5-205B831F7CA2}"/>
              </c:ext>
            </c:extLst>
          </c:dPt>
          <c:dPt>
            <c:idx val="84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4-3FDC-4A24-ABF5-205B831F7CA2}"/>
              </c:ext>
            </c:extLst>
          </c:dPt>
          <c:dPt>
            <c:idx val="8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6-3FDC-4A24-ABF5-205B831F7CA2}"/>
              </c:ext>
            </c:extLst>
          </c:dPt>
          <c:dPt>
            <c:idx val="86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8-3FDC-4A24-ABF5-205B831F7CA2}"/>
              </c:ext>
            </c:extLst>
          </c:dPt>
          <c:dPt>
            <c:idx val="87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A-3FDC-4A24-ABF5-205B831F7CA2}"/>
              </c:ext>
            </c:extLst>
          </c:dPt>
          <c:dPt>
            <c:idx val="88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C-3FDC-4A24-ABF5-205B831F7CA2}"/>
              </c:ext>
            </c:extLst>
          </c:dPt>
          <c:dPt>
            <c:idx val="89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E-3FDC-4A24-ABF5-205B831F7CA2}"/>
              </c:ext>
            </c:extLst>
          </c:dPt>
          <c:dPt>
            <c:idx val="9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0-3FDC-4A24-ABF5-205B831F7CA2}"/>
              </c:ext>
            </c:extLst>
          </c:dPt>
          <c:dPt>
            <c:idx val="9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2-3FDC-4A24-ABF5-205B831F7CA2}"/>
              </c:ext>
            </c:extLst>
          </c:dPt>
          <c:dPt>
            <c:idx val="9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4-3FDC-4A24-ABF5-205B831F7CA2}"/>
              </c:ext>
            </c:extLst>
          </c:dPt>
          <c:dPt>
            <c:idx val="93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6-3FDC-4A24-ABF5-205B831F7CA2}"/>
              </c:ext>
            </c:extLst>
          </c:dPt>
          <c:dPt>
            <c:idx val="94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8-3FDC-4A24-ABF5-205B831F7CA2}"/>
              </c:ext>
            </c:extLst>
          </c:dPt>
          <c:dPt>
            <c:idx val="9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A-3FDC-4A24-ABF5-205B831F7CA2}"/>
              </c:ext>
            </c:extLst>
          </c:dPt>
          <c:dPt>
            <c:idx val="96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C-3FDC-4A24-ABF5-205B831F7CA2}"/>
              </c:ext>
            </c:extLst>
          </c:dPt>
          <c:dPt>
            <c:idx val="97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E-3FDC-4A24-ABF5-205B831F7CA2}"/>
              </c:ext>
            </c:extLst>
          </c:dPt>
          <c:dPt>
            <c:idx val="98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0-3FDC-4A24-ABF5-205B831F7CA2}"/>
              </c:ext>
            </c:extLst>
          </c:dPt>
          <c:dPt>
            <c:idx val="99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2-3FDC-4A24-ABF5-205B831F7CA2}"/>
              </c:ext>
            </c:extLst>
          </c:dPt>
          <c:dPt>
            <c:idx val="10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4-3FDC-4A24-ABF5-205B831F7CA2}"/>
              </c:ext>
            </c:extLst>
          </c:dPt>
          <c:val>
            <c:numRef>
              <c:f>Dashboard!$AL$5:$AL$105</c:f>
              <c:numCache>
                <c:formatCode>General</c:formatCode>
                <c:ptCount val="1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 formatCode="0.00">
                  <c:v>174.82613529007804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95-3FDC-4A24-ABF5-205B831F7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1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THIS</a:t>
            </a:r>
            <a:r>
              <a:rPr lang="en-US" sz="1400" b="1" baseline="0"/>
              <a:t> MONTH'S </a:t>
            </a:r>
          </a:p>
          <a:p>
            <a:pPr>
              <a:defRPr/>
            </a:pPr>
            <a:r>
              <a:rPr lang="en-US" sz="1400" b="1"/>
              <a:t>ESKOM</a:t>
            </a:r>
            <a:r>
              <a:rPr lang="en-US" sz="1400" b="1" baseline="0"/>
              <a:t> PURCHASE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Dashboard!$AK$4</c:f>
              <c:strCache>
                <c:ptCount val="1"/>
                <c:pt idx="0">
                  <c:v>Grey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2C2-4749-BCCF-B1B3AB06DEE4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C2-4749-BCCF-B1B3AB06DEE4}"/>
              </c:ext>
            </c:extLst>
          </c:dPt>
          <c:dPt>
            <c:idx val="2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2C2-4749-BCCF-B1B3AB06DEE4}"/>
              </c:ext>
            </c:extLst>
          </c:dPt>
          <c:dPt>
            <c:idx val="3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2C2-4749-BCCF-B1B3AB06DEE4}"/>
              </c:ext>
            </c:extLst>
          </c:dPt>
          <c:dPt>
            <c:idx val="4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2C2-4749-BCCF-B1B3AB06DEE4}"/>
              </c:ext>
            </c:extLst>
          </c:dPt>
          <c:dPt>
            <c:idx val="5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2C2-4749-BCCF-B1B3AB06DEE4}"/>
              </c:ext>
            </c:extLst>
          </c:dPt>
          <c:dPt>
            <c:idx val="6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2C2-4749-BCCF-B1B3AB06DEE4}"/>
              </c:ext>
            </c:extLst>
          </c:dPt>
          <c:dPt>
            <c:idx val="7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2C2-4749-BCCF-B1B3AB06DEE4}"/>
              </c:ext>
            </c:extLst>
          </c:dPt>
          <c:dPt>
            <c:idx val="8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2C2-4749-BCCF-B1B3AB06DEE4}"/>
              </c:ext>
            </c:extLst>
          </c:dPt>
          <c:dPt>
            <c:idx val="9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2C2-4749-BCCF-B1B3AB06DEE4}"/>
              </c:ext>
            </c:extLst>
          </c:dPt>
          <c:dPt>
            <c:idx val="10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2C2-4749-BCCF-B1B3AB06DEE4}"/>
              </c:ext>
            </c:extLst>
          </c:dPt>
          <c:dPt>
            <c:idx val="1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2C2-4749-BCCF-B1B3AB06DEE4}"/>
              </c:ext>
            </c:extLst>
          </c:dPt>
          <c:dPt>
            <c:idx val="12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2C2-4749-BCCF-B1B3AB06DEE4}"/>
              </c:ext>
            </c:extLst>
          </c:dPt>
          <c:dPt>
            <c:idx val="13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22C2-4749-BCCF-B1B3AB06DEE4}"/>
              </c:ext>
            </c:extLst>
          </c:dPt>
          <c:dPt>
            <c:idx val="14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22C2-4749-BCCF-B1B3AB06DEE4}"/>
              </c:ext>
            </c:extLst>
          </c:dPt>
          <c:dPt>
            <c:idx val="15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22C2-4749-BCCF-B1B3AB06DEE4}"/>
              </c:ext>
            </c:extLst>
          </c:dPt>
          <c:dPt>
            <c:idx val="16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22C2-4749-BCCF-B1B3AB06DEE4}"/>
              </c:ext>
            </c:extLst>
          </c:dPt>
          <c:dPt>
            <c:idx val="17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22C2-4749-BCCF-B1B3AB06DEE4}"/>
              </c:ext>
            </c:extLst>
          </c:dPt>
          <c:dPt>
            <c:idx val="18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22C2-4749-BCCF-B1B3AB06DEE4}"/>
              </c:ext>
            </c:extLst>
          </c:dPt>
          <c:dPt>
            <c:idx val="19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22C2-4749-BCCF-B1B3AB06DEE4}"/>
              </c:ext>
            </c:extLst>
          </c:dPt>
          <c:dPt>
            <c:idx val="20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22C2-4749-BCCF-B1B3AB06DEE4}"/>
              </c:ext>
            </c:extLst>
          </c:dPt>
          <c:dPt>
            <c:idx val="2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22C2-4749-BCCF-B1B3AB06DEE4}"/>
              </c:ext>
            </c:extLst>
          </c:dPt>
          <c:dPt>
            <c:idx val="22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22C2-4749-BCCF-B1B3AB06DEE4}"/>
              </c:ext>
            </c:extLst>
          </c:dPt>
          <c:dPt>
            <c:idx val="23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22C2-4749-BCCF-B1B3AB06DEE4}"/>
              </c:ext>
            </c:extLst>
          </c:dPt>
          <c:dPt>
            <c:idx val="24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22C2-4749-BCCF-B1B3AB06DEE4}"/>
              </c:ext>
            </c:extLst>
          </c:dPt>
          <c:dPt>
            <c:idx val="25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22C2-4749-BCCF-B1B3AB06DEE4}"/>
              </c:ext>
            </c:extLst>
          </c:dPt>
          <c:dPt>
            <c:idx val="26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22C2-4749-BCCF-B1B3AB06DEE4}"/>
              </c:ext>
            </c:extLst>
          </c:dPt>
          <c:dPt>
            <c:idx val="27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22C2-4749-BCCF-B1B3AB06DEE4}"/>
              </c:ext>
            </c:extLst>
          </c:dPt>
          <c:dPt>
            <c:idx val="28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22C2-4749-BCCF-B1B3AB06DEE4}"/>
              </c:ext>
            </c:extLst>
          </c:dPt>
          <c:dPt>
            <c:idx val="29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22C2-4749-BCCF-B1B3AB06DEE4}"/>
              </c:ext>
            </c:extLst>
          </c:dPt>
          <c:dPt>
            <c:idx val="30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22C2-4749-BCCF-B1B3AB06DEE4}"/>
              </c:ext>
            </c:extLst>
          </c:dPt>
          <c:dPt>
            <c:idx val="3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22C2-4749-BCCF-B1B3AB06DEE4}"/>
              </c:ext>
            </c:extLst>
          </c:dPt>
          <c:dPt>
            <c:idx val="32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22C2-4749-BCCF-B1B3AB06DEE4}"/>
              </c:ext>
            </c:extLst>
          </c:dPt>
          <c:dPt>
            <c:idx val="33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22C2-4749-BCCF-B1B3AB06DEE4}"/>
              </c:ext>
            </c:extLst>
          </c:dPt>
          <c:dPt>
            <c:idx val="34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22C2-4749-BCCF-B1B3AB06DEE4}"/>
              </c:ext>
            </c:extLst>
          </c:dPt>
          <c:dPt>
            <c:idx val="35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22C2-4749-BCCF-B1B3AB06DEE4}"/>
              </c:ext>
            </c:extLst>
          </c:dPt>
          <c:dPt>
            <c:idx val="36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22C2-4749-BCCF-B1B3AB06DEE4}"/>
              </c:ext>
            </c:extLst>
          </c:dPt>
          <c:dPt>
            <c:idx val="37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22C2-4749-BCCF-B1B3AB06DEE4}"/>
              </c:ext>
            </c:extLst>
          </c:dPt>
          <c:dPt>
            <c:idx val="38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22C2-4749-BCCF-B1B3AB06DEE4}"/>
              </c:ext>
            </c:extLst>
          </c:dPt>
          <c:dPt>
            <c:idx val="39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22C2-4749-BCCF-B1B3AB06DEE4}"/>
              </c:ext>
            </c:extLst>
          </c:dPt>
          <c:dPt>
            <c:idx val="40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22C2-4749-BCCF-B1B3AB06DEE4}"/>
              </c:ext>
            </c:extLst>
          </c:dPt>
          <c:dPt>
            <c:idx val="4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22C2-4749-BCCF-B1B3AB06DEE4}"/>
              </c:ext>
            </c:extLst>
          </c:dPt>
          <c:dPt>
            <c:idx val="42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22C2-4749-BCCF-B1B3AB06DEE4}"/>
              </c:ext>
            </c:extLst>
          </c:dPt>
          <c:dPt>
            <c:idx val="43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22C2-4749-BCCF-B1B3AB06DEE4}"/>
              </c:ext>
            </c:extLst>
          </c:dPt>
          <c:dPt>
            <c:idx val="44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22C2-4749-BCCF-B1B3AB06DEE4}"/>
              </c:ext>
            </c:extLst>
          </c:dPt>
          <c:dPt>
            <c:idx val="45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22C2-4749-BCCF-B1B3AB06DEE4}"/>
              </c:ext>
            </c:extLst>
          </c:dPt>
          <c:dPt>
            <c:idx val="46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22C2-4749-BCCF-B1B3AB06DEE4}"/>
              </c:ext>
            </c:extLst>
          </c:dPt>
          <c:dPt>
            <c:idx val="47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22C2-4749-BCCF-B1B3AB06DEE4}"/>
              </c:ext>
            </c:extLst>
          </c:dPt>
          <c:dPt>
            <c:idx val="48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22C2-4749-BCCF-B1B3AB06DEE4}"/>
              </c:ext>
            </c:extLst>
          </c:dPt>
          <c:dPt>
            <c:idx val="49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22C2-4749-BCCF-B1B3AB06DEE4}"/>
              </c:ext>
            </c:extLst>
          </c:dPt>
          <c:dPt>
            <c:idx val="50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22C2-4749-BCCF-B1B3AB06DEE4}"/>
              </c:ext>
            </c:extLst>
          </c:dPt>
          <c:dPt>
            <c:idx val="5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22C2-4749-BCCF-B1B3AB06DEE4}"/>
              </c:ext>
            </c:extLst>
          </c:dPt>
          <c:dPt>
            <c:idx val="52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22C2-4749-BCCF-B1B3AB06DEE4}"/>
              </c:ext>
            </c:extLst>
          </c:dPt>
          <c:dPt>
            <c:idx val="53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22C2-4749-BCCF-B1B3AB06DEE4}"/>
              </c:ext>
            </c:extLst>
          </c:dPt>
          <c:dPt>
            <c:idx val="54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22C2-4749-BCCF-B1B3AB06DEE4}"/>
              </c:ext>
            </c:extLst>
          </c:dPt>
          <c:dPt>
            <c:idx val="55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22C2-4749-BCCF-B1B3AB06DEE4}"/>
              </c:ext>
            </c:extLst>
          </c:dPt>
          <c:dPt>
            <c:idx val="56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22C2-4749-BCCF-B1B3AB06DEE4}"/>
              </c:ext>
            </c:extLst>
          </c:dPt>
          <c:dPt>
            <c:idx val="57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22C2-4749-BCCF-B1B3AB06DEE4}"/>
              </c:ext>
            </c:extLst>
          </c:dPt>
          <c:dPt>
            <c:idx val="58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22C2-4749-BCCF-B1B3AB06DEE4}"/>
              </c:ext>
            </c:extLst>
          </c:dPt>
          <c:dPt>
            <c:idx val="59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22C2-4749-BCCF-B1B3AB06DEE4}"/>
              </c:ext>
            </c:extLst>
          </c:dPt>
          <c:dPt>
            <c:idx val="60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22C2-4749-BCCF-B1B3AB06DEE4}"/>
              </c:ext>
            </c:extLst>
          </c:dPt>
          <c:dPt>
            <c:idx val="6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22C2-4749-BCCF-B1B3AB06DEE4}"/>
              </c:ext>
            </c:extLst>
          </c:dPt>
          <c:dPt>
            <c:idx val="62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22C2-4749-BCCF-B1B3AB06DEE4}"/>
              </c:ext>
            </c:extLst>
          </c:dPt>
          <c:dPt>
            <c:idx val="63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22C2-4749-BCCF-B1B3AB06DEE4}"/>
              </c:ext>
            </c:extLst>
          </c:dPt>
          <c:dPt>
            <c:idx val="64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22C2-4749-BCCF-B1B3AB06DEE4}"/>
              </c:ext>
            </c:extLst>
          </c:dPt>
          <c:dPt>
            <c:idx val="65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22C2-4749-BCCF-B1B3AB06DEE4}"/>
              </c:ext>
            </c:extLst>
          </c:dPt>
          <c:dPt>
            <c:idx val="66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22C2-4749-BCCF-B1B3AB06DEE4}"/>
              </c:ext>
            </c:extLst>
          </c:dPt>
          <c:dPt>
            <c:idx val="67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22C2-4749-BCCF-B1B3AB06DEE4}"/>
              </c:ext>
            </c:extLst>
          </c:dPt>
          <c:dPt>
            <c:idx val="68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22C2-4749-BCCF-B1B3AB06DEE4}"/>
              </c:ext>
            </c:extLst>
          </c:dPt>
          <c:dPt>
            <c:idx val="69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22C2-4749-BCCF-B1B3AB06DEE4}"/>
              </c:ext>
            </c:extLst>
          </c:dPt>
          <c:dPt>
            <c:idx val="70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22C2-4749-BCCF-B1B3AB06DEE4}"/>
              </c:ext>
            </c:extLst>
          </c:dPt>
          <c:dPt>
            <c:idx val="7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22C2-4749-BCCF-B1B3AB06DEE4}"/>
              </c:ext>
            </c:extLst>
          </c:dPt>
          <c:dPt>
            <c:idx val="72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22C2-4749-BCCF-B1B3AB06DEE4}"/>
              </c:ext>
            </c:extLst>
          </c:dPt>
          <c:dPt>
            <c:idx val="73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22C2-4749-BCCF-B1B3AB06DEE4}"/>
              </c:ext>
            </c:extLst>
          </c:dPt>
          <c:dPt>
            <c:idx val="74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22C2-4749-BCCF-B1B3AB06DEE4}"/>
              </c:ext>
            </c:extLst>
          </c:dPt>
          <c:dPt>
            <c:idx val="75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22C2-4749-BCCF-B1B3AB06DEE4}"/>
              </c:ext>
            </c:extLst>
          </c:dPt>
          <c:dPt>
            <c:idx val="76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22C2-4749-BCCF-B1B3AB06DEE4}"/>
              </c:ext>
            </c:extLst>
          </c:dPt>
          <c:dPt>
            <c:idx val="77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22C2-4749-BCCF-B1B3AB06DEE4}"/>
              </c:ext>
            </c:extLst>
          </c:dPt>
          <c:dPt>
            <c:idx val="78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22C2-4749-BCCF-B1B3AB06DEE4}"/>
              </c:ext>
            </c:extLst>
          </c:dPt>
          <c:dPt>
            <c:idx val="79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22C2-4749-BCCF-B1B3AB06DEE4}"/>
              </c:ext>
            </c:extLst>
          </c:dPt>
          <c:dPt>
            <c:idx val="80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22C2-4749-BCCF-B1B3AB06DEE4}"/>
              </c:ext>
            </c:extLst>
          </c:dPt>
          <c:dPt>
            <c:idx val="8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22C2-4749-BCCF-B1B3AB06DEE4}"/>
              </c:ext>
            </c:extLst>
          </c:dPt>
          <c:dPt>
            <c:idx val="82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22C2-4749-BCCF-B1B3AB06DEE4}"/>
              </c:ext>
            </c:extLst>
          </c:dPt>
          <c:dPt>
            <c:idx val="83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22C2-4749-BCCF-B1B3AB06DEE4}"/>
              </c:ext>
            </c:extLst>
          </c:dPt>
          <c:dPt>
            <c:idx val="84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22C2-4749-BCCF-B1B3AB06DEE4}"/>
              </c:ext>
            </c:extLst>
          </c:dPt>
          <c:dPt>
            <c:idx val="85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22C2-4749-BCCF-B1B3AB06DEE4}"/>
              </c:ext>
            </c:extLst>
          </c:dPt>
          <c:dPt>
            <c:idx val="86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22C2-4749-BCCF-B1B3AB06DEE4}"/>
              </c:ext>
            </c:extLst>
          </c:dPt>
          <c:dPt>
            <c:idx val="87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22C2-4749-BCCF-B1B3AB06DEE4}"/>
              </c:ext>
            </c:extLst>
          </c:dPt>
          <c:dPt>
            <c:idx val="88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22C2-4749-BCCF-B1B3AB06DEE4}"/>
              </c:ext>
            </c:extLst>
          </c:dPt>
          <c:dPt>
            <c:idx val="89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22C2-4749-BCCF-B1B3AB06DEE4}"/>
              </c:ext>
            </c:extLst>
          </c:dPt>
          <c:dPt>
            <c:idx val="90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22C2-4749-BCCF-B1B3AB06DEE4}"/>
              </c:ext>
            </c:extLst>
          </c:dPt>
          <c:dPt>
            <c:idx val="9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22C2-4749-BCCF-B1B3AB06DEE4}"/>
              </c:ext>
            </c:extLst>
          </c:dPt>
          <c:dPt>
            <c:idx val="92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22C2-4749-BCCF-B1B3AB06DEE4}"/>
              </c:ext>
            </c:extLst>
          </c:dPt>
          <c:dPt>
            <c:idx val="93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22C2-4749-BCCF-B1B3AB06DEE4}"/>
              </c:ext>
            </c:extLst>
          </c:dPt>
          <c:dPt>
            <c:idx val="94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22C2-4749-BCCF-B1B3AB06DEE4}"/>
              </c:ext>
            </c:extLst>
          </c:dPt>
          <c:dPt>
            <c:idx val="95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22C2-4749-BCCF-B1B3AB06DEE4}"/>
              </c:ext>
            </c:extLst>
          </c:dPt>
          <c:dPt>
            <c:idx val="96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22C2-4749-BCCF-B1B3AB06DEE4}"/>
              </c:ext>
            </c:extLst>
          </c:dPt>
          <c:dPt>
            <c:idx val="97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22C2-4749-BCCF-B1B3AB06DEE4}"/>
              </c:ext>
            </c:extLst>
          </c:dPt>
          <c:dPt>
            <c:idx val="98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22C2-4749-BCCF-B1B3AB06DEE4}"/>
              </c:ext>
            </c:extLst>
          </c:dPt>
          <c:dPt>
            <c:idx val="99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22C2-4749-BCCF-B1B3AB06DEE4}"/>
              </c:ext>
            </c:extLst>
          </c:dPt>
          <c:dPt>
            <c:idx val="10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9-22C2-4749-BCCF-B1B3AB06DEE4}"/>
              </c:ext>
            </c:extLst>
          </c:dPt>
          <c:val>
            <c:numRef>
              <c:f>Dashboard!$AK$5:$AK$105</c:f>
              <c:numCache>
                <c:formatCode>General</c:formatCode>
                <c:ptCount val="1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A-22C2-4749-BCCF-B1B3AB06D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0"/>
      </c:doughnutChart>
      <c:doughnutChart>
        <c:varyColors val="1"/>
        <c:ser>
          <c:idx val="1"/>
          <c:order val="1"/>
          <c:tx>
            <c:strRef>
              <c:f>Dashboard!$AM$4</c:f>
              <c:strCache>
                <c:ptCount val="1"/>
                <c:pt idx="0">
                  <c:v>Colour (Con)</c:v>
                </c:pt>
              </c:strCache>
            </c:strRef>
          </c:tx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C-22C2-4749-BCCF-B1B3AB06DEE4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E-22C2-4749-BCCF-B1B3AB06DEE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0-22C2-4749-BCCF-B1B3AB06DEE4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2-22C2-4749-BCCF-B1B3AB06DEE4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4-22C2-4749-BCCF-B1B3AB06DEE4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6-22C2-4749-BCCF-B1B3AB06DEE4}"/>
              </c:ext>
            </c:extLst>
          </c:dPt>
          <c:dPt>
            <c:idx val="6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8-22C2-4749-BCCF-B1B3AB06DEE4}"/>
              </c:ext>
            </c:extLst>
          </c:dPt>
          <c:dPt>
            <c:idx val="7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A-22C2-4749-BCCF-B1B3AB06DEE4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C-22C2-4749-BCCF-B1B3AB06DEE4}"/>
              </c:ext>
            </c:extLst>
          </c:dPt>
          <c:dPt>
            <c:idx val="9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E-22C2-4749-BCCF-B1B3AB06DEE4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0-22C2-4749-BCCF-B1B3AB06DEE4}"/>
              </c:ext>
            </c:extLst>
          </c:dPt>
          <c:dPt>
            <c:idx val="1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2-22C2-4749-BCCF-B1B3AB06DEE4}"/>
              </c:ext>
            </c:extLst>
          </c:dPt>
          <c:dPt>
            <c:idx val="1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4-22C2-4749-BCCF-B1B3AB06DEE4}"/>
              </c:ext>
            </c:extLst>
          </c:dPt>
          <c:dPt>
            <c:idx val="1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6-22C2-4749-BCCF-B1B3AB06DEE4}"/>
              </c:ext>
            </c:extLst>
          </c:dPt>
          <c:dPt>
            <c:idx val="1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8-22C2-4749-BCCF-B1B3AB06DEE4}"/>
              </c:ext>
            </c:extLst>
          </c:dPt>
          <c:dPt>
            <c:idx val="1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A-22C2-4749-BCCF-B1B3AB06DEE4}"/>
              </c:ext>
            </c:extLst>
          </c:dPt>
          <c:dPt>
            <c:idx val="16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C-22C2-4749-BCCF-B1B3AB06DEE4}"/>
              </c:ext>
            </c:extLst>
          </c:dPt>
          <c:dPt>
            <c:idx val="17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E-22C2-4749-BCCF-B1B3AB06DEE4}"/>
              </c:ext>
            </c:extLst>
          </c:dPt>
          <c:dPt>
            <c:idx val="1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0-22C2-4749-BCCF-B1B3AB06DEE4}"/>
              </c:ext>
            </c:extLst>
          </c:dPt>
          <c:dPt>
            <c:idx val="19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2-22C2-4749-BCCF-B1B3AB06DEE4}"/>
              </c:ext>
            </c:extLst>
          </c:dPt>
          <c:dPt>
            <c:idx val="2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4-22C2-4749-BCCF-B1B3AB06DEE4}"/>
              </c:ext>
            </c:extLst>
          </c:dPt>
          <c:dPt>
            <c:idx val="2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6-22C2-4749-BCCF-B1B3AB06DEE4}"/>
              </c:ext>
            </c:extLst>
          </c:dPt>
          <c:dPt>
            <c:idx val="2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8-22C2-4749-BCCF-B1B3AB06DEE4}"/>
              </c:ext>
            </c:extLst>
          </c:dPt>
          <c:dPt>
            <c:idx val="2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A-22C2-4749-BCCF-B1B3AB06DEE4}"/>
              </c:ext>
            </c:extLst>
          </c:dPt>
          <c:dPt>
            <c:idx val="2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C-22C2-4749-BCCF-B1B3AB06DEE4}"/>
              </c:ext>
            </c:extLst>
          </c:dPt>
          <c:dPt>
            <c:idx val="2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E-22C2-4749-BCCF-B1B3AB06DEE4}"/>
              </c:ext>
            </c:extLst>
          </c:dPt>
          <c:dPt>
            <c:idx val="26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0-22C2-4749-BCCF-B1B3AB06DEE4}"/>
              </c:ext>
            </c:extLst>
          </c:dPt>
          <c:dPt>
            <c:idx val="27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2-22C2-4749-BCCF-B1B3AB06DEE4}"/>
              </c:ext>
            </c:extLst>
          </c:dPt>
          <c:dPt>
            <c:idx val="2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4-22C2-4749-BCCF-B1B3AB06DEE4}"/>
              </c:ext>
            </c:extLst>
          </c:dPt>
          <c:dPt>
            <c:idx val="29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6-22C2-4749-BCCF-B1B3AB06DEE4}"/>
              </c:ext>
            </c:extLst>
          </c:dPt>
          <c:dPt>
            <c:idx val="3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8-22C2-4749-BCCF-B1B3AB06DEE4}"/>
              </c:ext>
            </c:extLst>
          </c:dPt>
          <c:dPt>
            <c:idx val="3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A-22C2-4749-BCCF-B1B3AB06DEE4}"/>
              </c:ext>
            </c:extLst>
          </c:dPt>
          <c:dPt>
            <c:idx val="3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C-22C2-4749-BCCF-B1B3AB06DEE4}"/>
              </c:ext>
            </c:extLst>
          </c:dPt>
          <c:dPt>
            <c:idx val="3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E-22C2-4749-BCCF-B1B3AB06DEE4}"/>
              </c:ext>
            </c:extLst>
          </c:dPt>
          <c:dPt>
            <c:idx val="3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0-22C2-4749-BCCF-B1B3AB06DEE4}"/>
              </c:ext>
            </c:extLst>
          </c:dPt>
          <c:dPt>
            <c:idx val="3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2-22C2-4749-BCCF-B1B3AB06DEE4}"/>
              </c:ext>
            </c:extLst>
          </c:dPt>
          <c:dPt>
            <c:idx val="36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4-22C2-4749-BCCF-B1B3AB06DEE4}"/>
              </c:ext>
            </c:extLst>
          </c:dPt>
          <c:dPt>
            <c:idx val="37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6-22C2-4749-BCCF-B1B3AB06DEE4}"/>
              </c:ext>
            </c:extLst>
          </c:dPt>
          <c:dPt>
            <c:idx val="3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8-22C2-4749-BCCF-B1B3AB06DEE4}"/>
              </c:ext>
            </c:extLst>
          </c:dPt>
          <c:dPt>
            <c:idx val="39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A-22C2-4749-BCCF-B1B3AB06DEE4}"/>
              </c:ext>
            </c:extLst>
          </c:dPt>
          <c:dPt>
            <c:idx val="4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C-22C2-4749-BCCF-B1B3AB06DEE4}"/>
              </c:ext>
            </c:extLst>
          </c:dPt>
          <c:dPt>
            <c:idx val="4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E-22C2-4749-BCCF-B1B3AB06DEE4}"/>
              </c:ext>
            </c:extLst>
          </c:dPt>
          <c:dPt>
            <c:idx val="4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0-22C2-4749-BCCF-B1B3AB06DEE4}"/>
              </c:ext>
            </c:extLst>
          </c:dPt>
          <c:dPt>
            <c:idx val="4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2-22C2-4749-BCCF-B1B3AB06DEE4}"/>
              </c:ext>
            </c:extLst>
          </c:dPt>
          <c:dPt>
            <c:idx val="4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4-22C2-4749-BCCF-B1B3AB06DEE4}"/>
              </c:ext>
            </c:extLst>
          </c:dPt>
          <c:dPt>
            <c:idx val="4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6-22C2-4749-BCCF-B1B3AB06DEE4}"/>
              </c:ext>
            </c:extLst>
          </c:dPt>
          <c:dPt>
            <c:idx val="46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8-22C2-4749-BCCF-B1B3AB06DEE4}"/>
              </c:ext>
            </c:extLst>
          </c:dPt>
          <c:dPt>
            <c:idx val="47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A-22C2-4749-BCCF-B1B3AB06DEE4}"/>
              </c:ext>
            </c:extLst>
          </c:dPt>
          <c:dPt>
            <c:idx val="4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C-22C2-4749-BCCF-B1B3AB06DEE4}"/>
              </c:ext>
            </c:extLst>
          </c:dPt>
          <c:dPt>
            <c:idx val="49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E-22C2-4749-BCCF-B1B3AB06DEE4}"/>
              </c:ext>
            </c:extLst>
          </c:dPt>
          <c:dPt>
            <c:idx val="5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0-22C2-4749-BCCF-B1B3AB06DEE4}"/>
              </c:ext>
            </c:extLst>
          </c:dPt>
          <c:dPt>
            <c:idx val="5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2-22C2-4749-BCCF-B1B3AB06DEE4}"/>
              </c:ext>
            </c:extLst>
          </c:dPt>
          <c:dPt>
            <c:idx val="5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4-22C2-4749-BCCF-B1B3AB06DEE4}"/>
              </c:ext>
            </c:extLst>
          </c:dPt>
          <c:dPt>
            <c:idx val="5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6-22C2-4749-BCCF-B1B3AB06DEE4}"/>
              </c:ext>
            </c:extLst>
          </c:dPt>
          <c:dPt>
            <c:idx val="5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8-22C2-4749-BCCF-B1B3AB06DEE4}"/>
              </c:ext>
            </c:extLst>
          </c:dPt>
          <c:dPt>
            <c:idx val="5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A-22C2-4749-BCCF-B1B3AB06DEE4}"/>
              </c:ext>
            </c:extLst>
          </c:dPt>
          <c:dPt>
            <c:idx val="56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C-22C2-4749-BCCF-B1B3AB06DEE4}"/>
              </c:ext>
            </c:extLst>
          </c:dPt>
          <c:dPt>
            <c:idx val="57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E-22C2-4749-BCCF-B1B3AB06DEE4}"/>
              </c:ext>
            </c:extLst>
          </c:dPt>
          <c:dPt>
            <c:idx val="5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0-22C2-4749-BCCF-B1B3AB06DEE4}"/>
              </c:ext>
            </c:extLst>
          </c:dPt>
          <c:dPt>
            <c:idx val="59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2-22C2-4749-BCCF-B1B3AB06DEE4}"/>
              </c:ext>
            </c:extLst>
          </c:dPt>
          <c:dPt>
            <c:idx val="6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4-22C2-4749-BCCF-B1B3AB06DEE4}"/>
              </c:ext>
            </c:extLst>
          </c:dPt>
          <c:dPt>
            <c:idx val="6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6-22C2-4749-BCCF-B1B3AB06DEE4}"/>
              </c:ext>
            </c:extLst>
          </c:dPt>
          <c:dPt>
            <c:idx val="6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8-22C2-4749-BCCF-B1B3AB06DEE4}"/>
              </c:ext>
            </c:extLst>
          </c:dPt>
          <c:dPt>
            <c:idx val="6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A-22C2-4749-BCCF-B1B3AB06DEE4}"/>
              </c:ext>
            </c:extLst>
          </c:dPt>
          <c:dPt>
            <c:idx val="6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C-22C2-4749-BCCF-B1B3AB06DEE4}"/>
              </c:ext>
            </c:extLst>
          </c:dPt>
          <c:dPt>
            <c:idx val="6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E-22C2-4749-BCCF-B1B3AB06DEE4}"/>
              </c:ext>
            </c:extLst>
          </c:dPt>
          <c:dPt>
            <c:idx val="66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0-22C2-4749-BCCF-B1B3AB06DEE4}"/>
              </c:ext>
            </c:extLst>
          </c:dPt>
          <c:dPt>
            <c:idx val="67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2-22C2-4749-BCCF-B1B3AB06DEE4}"/>
              </c:ext>
            </c:extLst>
          </c:dPt>
          <c:dPt>
            <c:idx val="6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4-22C2-4749-BCCF-B1B3AB06DEE4}"/>
              </c:ext>
            </c:extLst>
          </c:dPt>
          <c:dPt>
            <c:idx val="69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6-22C2-4749-BCCF-B1B3AB06DEE4}"/>
              </c:ext>
            </c:extLst>
          </c:dPt>
          <c:dPt>
            <c:idx val="7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8-22C2-4749-BCCF-B1B3AB06DEE4}"/>
              </c:ext>
            </c:extLst>
          </c:dPt>
          <c:dPt>
            <c:idx val="7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A-22C2-4749-BCCF-B1B3AB06DEE4}"/>
              </c:ext>
            </c:extLst>
          </c:dPt>
          <c:dPt>
            <c:idx val="7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C-22C2-4749-BCCF-B1B3AB06DEE4}"/>
              </c:ext>
            </c:extLst>
          </c:dPt>
          <c:dPt>
            <c:idx val="7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E-22C2-4749-BCCF-B1B3AB06DEE4}"/>
              </c:ext>
            </c:extLst>
          </c:dPt>
          <c:dPt>
            <c:idx val="7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0-22C2-4749-BCCF-B1B3AB06DEE4}"/>
              </c:ext>
            </c:extLst>
          </c:dPt>
          <c:dPt>
            <c:idx val="7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2-22C2-4749-BCCF-B1B3AB06DEE4}"/>
              </c:ext>
            </c:extLst>
          </c:dPt>
          <c:dPt>
            <c:idx val="76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4-22C2-4749-BCCF-B1B3AB06DEE4}"/>
              </c:ext>
            </c:extLst>
          </c:dPt>
          <c:dPt>
            <c:idx val="77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6-22C2-4749-BCCF-B1B3AB06DEE4}"/>
              </c:ext>
            </c:extLst>
          </c:dPt>
          <c:dPt>
            <c:idx val="7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8-22C2-4749-BCCF-B1B3AB06DEE4}"/>
              </c:ext>
            </c:extLst>
          </c:dPt>
          <c:dPt>
            <c:idx val="79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A-22C2-4749-BCCF-B1B3AB06DEE4}"/>
              </c:ext>
            </c:extLst>
          </c:dPt>
          <c:dPt>
            <c:idx val="8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C-22C2-4749-BCCF-B1B3AB06DEE4}"/>
              </c:ext>
            </c:extLst>
          </c:dPt>
          <c:dPt>
            <c:idx val="8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E-22C2-4749-BCCF-B1B3AB06DEE4}"/>
              </c:ext>
            </c:extLst>
          </c:dPt>
          <c:dPt>
            <c:idx val="8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0-22C2-4749-BCCF-B1B3AB06DEE4}"/>
              </c:ext>
            </c:extLst>
          </c:dPt>
          <c:dPt>
            <c:idx val="8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2-22C2-4749-BCCF-B1B3AB06DEE4}"/>
              </c:ext>
            </c:extLst>
          </c:dPt>
          <c:dPt>
            <c:idx val="8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4-22C2-4749-BCCF-B1B3AB06DEE4}"/>
              </c:ext>
            </c:extLst>
          </c:dPt>
          <c:dPt>
            <c:idx val="8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6-22C2-4749-BCCF-B1B3AB06DEE4}"/>
              </c:ext>
            </c:extLst>
          </c:dPt>
          <c:dPt>
            <c:idx val="86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8-22C2-4749-BCCF-B1B3AB06DEE4}"/>
              </c:ext>
            </c:extLst>
          </c:dPt>
          <c:dPt>
            <c:idx val="87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A-22C2-4749-BCCF-B1B3AB06DEE4}"/>
              </c:ext>
            </c:extLst>
          </c:dPt>
          <c:dPt>
            <c:idx val="8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C-22C2-4749-BCCF-B1B3AB06DEE4}"/>
              </c:ext>
            </c:extLst>
          </c:dPt>
          <c:dPt>
            <c:idx val="89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E-22C2-4749-BCCF-B1B3AB06DEE4}"/>
              </c:ext>
            </c:extLst>
          </c:dPt>
          <c:dPt>
            <c:idx val="9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0-22C2-4749-BCCF-B1B3AB06DEE4}"/>
              </c:ext>
            </c:extLst>
          </c:dPt>
          <c:dPt>
            <c:idx val="9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2-22C2-4749-BCCF-B1B3AB06DEE4}"/>
              </c:ext>
            </c:extLst>
          </c:dPt>
          <c:dPt>
            <c:idx val="9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4-22C2-4749-BCCF-B1B3AB06DEE4}"/>
              </c:ext>
            </c:extLst>
          </c:dPt>
          <c:dPt>
            <c:idx val="9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6-22C2-4749-BCCF-B1B3AB06DEE4}"/>
              </c:ext>
            </c:extLst>
          </c:dPt>
          <c:dPt>
            <c:idx val="9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8-22C2-4749-BCCF-B1B3AB06DEE4}"/>
              </c:ext>
            </c:extLst>
          </c:dPt>
          <c:dPt>
            <c:idx val="9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A-22C2-4749-BCCF-B1B3AB06DEE4}"/>
              </c:ext>
            </c:extLst>
          </c:dPt>
          <c:dPt>
            <c:idx val="96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C-22C2-4749-BCCF-B1B3AB06DEE4}"/>
              </c:ext>
            </c:extLst>
          </c:dPt>
          <c:dPt>
            <c:idx val="97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E-22C2-4749-BCCF-B1B3AB06DEE4}"/>
              </c:ext>
            </c:extLst>
          </c:dPt>
          <c:dPt>
            <c:idx val="9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0-22C2-4749-BCCF-B1B3AB06DEE4}"/>
              </c:ext>
            </c:extLst>
          </c:dPt>
          <c:dPt>
            <c:idx val="99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2-22C2-4749-BCCF-B1B3AB06DEE4}"/>
              </c:ext>
            </c:extLst>
          </c:dPt>
          <c:dPt>
            <c:idx val="10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4-22C2-4749-BCCF-B1B3AB06DEE4}"/>
              </c:ext>
            </c:extLst>
          </c:dPt>
          <c:val>
            <c:numRef>
              <c:f>Dashboard!$AM$5:$AM$105</c:f>
              <c:numCache>
                <c:formatCode>General</c:formatCode>
                <c:ptCount val="1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125.17386470992196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95-22C2-4749-BCCF-B1B3AB06D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Production VS Purchase (2026)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Dashboard!$AF$5</c:f>
              <c:strCache>
                <c:ptCount val="1"/>
                <c:pt idx="0">
                  <c:v>Production (MWh)</c:v>
                </c:pt>
              </c:strCache>
            </c:strRef>
          </c:tx>
          <c:spPr>
            <a:ln w="19050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solid"/>
              <a:miter lim="800000"/>
            </a:ln>
            <a:effectLst>
              <a:glow rad="63500">
                <a:schemeClr val="accent6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cat>
            <c:strRef>
              <c:f>Dashboard!$AE$6:$AE$17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Dashboard!$AF$6:$AF$17</c:f>
              <c:numCache>
                <c:formatCode>0.00</c:formatCode>
                <c:ptCount val="12"/>
                <c:pt idx="0">
                  <c:v>34</c:v>
                </c:pt>
                <c:pt idx="1">
                  <c:v>34</c:v>
                </c:pt>
                <c:pt idx="2">
                  <c:v>27</c:v>
                </c:pt>
                <c:pt idx="3">
                  <c:v>29</c:v>
                </c:pt>
                <c:pt idx="4">
                  <c:v>24</c:v>
                </c:pt>
                <c:pt idx="5">
                  <c:v>1.327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3D-45E1-BCC2-5E51FF010241}"/>
            </c:ext>
          </c:extLst>
        </c:ser>
        <c:ser>
          <c:idx val="1"/>
          <c:order val="1"/>
          <c:tx>
            <c:strRef>
              <c:f>Dashboard!$AG$5</c:f>
              <c:strCache>
                <c:ptCount val="1"/>
                <c:pt idx="0">
                  <c:v>Consumption (MWh)</c:v>
                </c:pt>
              </c:strCache>
            </c:strRef>
          </c:tx>
          <c:spPr>
            <a:ln w="19050" cap="flat" cmpd="sng" algn="ctr">
              <a:solidFill>
                <a:schemeClr val="accent4">
                  <a:lumMod val="40000"/>
                  <a:lumOff val="60000"/>
                </a:schemeClr>
              </a:solidFill>
              <a:prstDash val="solid"/>
              <a:miter lim="800000"/>
            </a:ln>
            <a:effectLst>
              <a:glow rad="63500">
                <a:schemeClr val="accent4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cat>
            <c:strRef>
              <c:f>Dashboard!$AE$6:$AE$17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Dashboard!$AG$6:$AG$17</c:f>
              <c:numCache>
                <c:formatCode>0.00</c:formatCode>
                <c:ptCount val="12"/>
                <c:pt idx="0">
                  <c:v>64</c:v>
                </c:pt>
                <c:pt idx="1">
                  <c:v>64</c:v>
                </c:pt>
                <c:pt idx="2">
                  <c:v>63</c:v>
                </c:pt>
                <c:pt idx="3">
                  <c:v>65</c:v>
                </c:pt>
                <c:pt idx="4">
                  <c:v>82</c:v>
                </c:pt>
                <c:pt idx="5">
                  <c:v>5.2713400000000004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3D-45E1-BCC2-5E51FF010241}"/>
            </c:ext>
          </c:extLst>
        </c:ser>
        <c:ser>
          <c:idx val="2"/>
          <c:order val="2"/>
          <c:tx>
            <c:strRef>
              <c:f>Dashboard!$AH$5</c:f>
              <c:strCache>
                <c:ptCount val="1"/>
                <c:pt idx="0">
                  <c:v>Purchase (MWh)</c:v>
                </c:pt>
              </c:strCache>
            </c:strRef>
          </c:tx>
          <c:spPr>
            <a:ln w="19050" cap="flat" cmpd="sng" algn="ctr">
              <a:solidFill>
                <a:schemeClr val="accent2">
                  <a:lumMod val="75000"/>
                </a:schemeClr>
              </a:solidFill>
              <a:prstDash val="solid"/>
              <a:miter lim="800000"/>
            </a:ln>
            <a:effectLst>
              <a:glow rad="63500">
                <a:schemeClr val="accent2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cat>
            <c:strRef>
              <c:f>Dashboard!$AE$6:$AE$17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Dashboard!$AH$6:$AH$17</c:f>
              <c:numCache>
                <c:formatCode>0.00</c:formatCode>
                <c:ptCount val="12"/>
                <c:pt idx="0">
                  <c:v>30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58</c:v>
                </c:pt>
                <c:pt idx="5">
                  <c:v>3.9443400000000004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3D-45E1-BCC2-5E51FF010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5461567"/>
        <c:axId val="1405472607"/>
      </c:lineChart>
      <c:catAx>
        <c:axId val="140546156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472607"/>
        <c:crosses val="autoZero"/>
        <c:auto val="1"/>
        <c:lblAlgn val="ctr"/>
        <c:lblOffset val="100"/>
        <c:noMultiLvlLbl val="0"/>
      </c:catAx>
      <c:valAx>
        <c:axId val="140547260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461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>
        <a:lumMod val="5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128986</xdr:colOff>
      <xdr:row>21</xdr:row>
      <xdr:rowOff>39688</xdr:rowOff>
    </xdr:from>
    <xdr:to>
      <xdr:col>6</xdr:col>
      <xdr:colOff>332186</xdr:colOff>
      <xdr:row>33</xdr:row>
      <xdr:rowOff>80963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7691B1-2623-41D3-9B83-0B99AE05DAA7}"/>
            </a:ext>
            <a:ext uri="{147F2762-F138-4A5C-976F-8EAC2B608ADB}">
              <a16:predDERef xmlns:a16="http://schemas.microsoft.com/office/drawing/2014/main" pred="{70E00051-FB7D-B08B-0295-ACDF38801F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115456</xdr:rowOff>
    </xdr:from>
    <xdr:to>
      <xdr:col>6</xdr:col>
      <xdr:colOff>640443</xdr:colOff>
      <xdr:row>22</xdr:row>
      <xdr:rowOff>178956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60D5A5-32EB-6080-6027-6FED91A95A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501549</xdr:colOff>
      <xdr:row>10</xdr:row>
      <xdr:rowOff>167214</xdr:rowOff>
    </xdr:from>
    <xdr:to>
      <xdr:col>6</xdr:col>
      <xdr:colOff>158968</xdr:colOff>
      <xdr:row>12</xdr:row>
      <xdr:rowOff>144802</xdr:rowOff>
    </xdr:to>
    <xdr:sp macro="" textlink="Q11">
      <xdr:nvSpPr>
        <xdr:cNvPr id="4" name="TextBox 3">
          <a:extLst>
            <a:ext uri="{FF2B5EF4-FFF2-40B4-BE49-F238E27FC236}">
              <a16:creationId xmlns:a16="http://schemas.microsoft.com/office/drawing/2014/main" id="{DDF2741E-066D-D734-1D37-A89F8A97392A}"/>
            </a:ext>
          </a:extLst>
        </xdr:cNvPr>
        <xdr:cNvSpPr txBox="1"/>
      </xdr:nvSpPr>
      <xdr:spPr>
        <a:xfrm>
          <a:off x="501549" y="2037578"/>
          <a:ext cx="3328874" cy="347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fld id="{3D7D3BDB-EA36-4E0A-BD50-B5E640291EC4}" type="TxLink">
            <a:rPr lang="en-US" sz="2400" b="1" i="0" u="none" strike="noStrike">
              <a:solidFill>
                <a:srgbClr val="92D050"/>
              </a:solidFill>
              <a:latin typeface="Aptos Narrow"/>
            </a:rPr>
            <a:pPr/>
            <a:t>25%</a:t>
          </a:fld>
          <a:endParaRPr lang="en-US" sz="2400" b="1" i="0" u="none" strike="noStrike">
            <a:solidFill>
              <a:srgbClr val="92D050"/>
            </a:solidFill>
            <a:latin typeface="Aptos Narrow"/>
          </a:endParaRPr>
        </a:p>
        <a:p>
          <a:r>
            <a:rPr lang="en-US" sz="2400" b="1" i="0" u="none" strike="noStrike">
              <a:solidFill>
                <a:srgbClr val="92D050"/>
              </a:solidFill>
              <a:latin typeface="Aptos Narrow"/>
            </a:rPr>
            <a:t>=</a:t>
          </a:r>
          <a:endParaRPr lang="en-US" sz="2400">
            <a:solidFill>
              <a:srgbClr val="92D050"/>
            </a:solidFill>
          </a:endParaRPr>
        </a:p>
      </xdr:txBody>
    </xdr:sp>
    <xdr:clientData/>
  </xdr:twoCellAnchor>
  <xdr:twoCellAnchor>
    <xdr:from>
      <xdr:col>0</xdr:col>
      <xdr:colOff>29885</xdr:colOff>
      <xdr:row>15</xdr:row>
      <xdr:rowOff>154215</xdr:rowOff>
    </xdr:from>
    <xdr:to>
      <xdr:col>6</xdr:col>
      <xdr:colOff>650202</xdr:colOff>
      <xdr:row>35</xdr:row>
      <xdr:rowOff>99785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D7D09A6-0E6A-558D-7696-2813CBF0A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541618</xdr:colOff>
      <xdr:row>25</xdr:row>
      <xdr:rowOff>35753</xdr:rowOff>
    </xdr:from>
    <xdr:to>
      <xdr:col>6</xdr:col>
      <xdr:colOff>199037</xdr:colOff>
      <xdr:row>27</xdr:row>
      <xdr:rowOff>13341</xdr:rowOff>
    </xdr:to>
    <xdr:sp macro="" textlink="Q13">
      <xdr:nvSpPr>
        <xdr:cNvPr id="7" name="TextBox 6">
          <a:extLst>
            <a:ext uri="{FF2B5EF4-FFF2-40B4-BE49-F238E27FC236}">
              <a16:creationId xmlns:a16="http://schemas.microsoft.com/office/drawing/2014/main" id="{EA6FE2CF-B9EC-40BA-B41D-C4F1C90A451F}"/>
            </a:ext>
          </a:extLst>
        </xdr:cNvPr>
        <xdr:cNvSpPr txBox="1"/>
      </xdr:nvSpPr>
      <xdr:spPr>
        <a:xfrm>
          <a:off x="541618" y="4607753"/>
          <a:ext cx="3666990" cy="3404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fld id="{8BCBF589-D896-4105-AC48-8DD22EFB2172}" type="TxLink">
            <a:rPr lang="en-US" sz="2400" b="1" i="0" u="none" strike="noStrike">
              <a:solidFill>
                <a:srgbClr val="FF0000"/>
              </a:solidFill>
              <a:latin typeface="Aptos Narrow"/>
            </a:rPr>
            <a:pPr/>
            <a:t>75%</a:t>
          </a:fld>
          <a:endParaRPr lang="en-US" sz="48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265545</xdr:colOff>
      <xdr:row>0</xdr:row>
      <xdr:rowOff>0</xdr:rowOff>
    </xdr:from>
    <xdr:to>
      <xdr:col>11</xdr:col>
      <xdr:colOff>1540988</xdr:colOff>
      <xdr:row>22</xdr:row>
      <xdr:rowOff>63500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7F56FE6-74C7-4E22-9520-DC764E989C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356260</xdr:colOff>
      <xdr:row>15</xdr:row>
      <xdr:rowOff>124527</xdr:rowOff>
    </xdr:from>
    <xdr:to>
      <xdr:col>11</xdr:col>
      <xdr:colOff>1587084</xdr:colOff>
      <xdr:row>35</xdr:row>
      <xdr:rowOff>70098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38278D5-A988-4D36-AB78-6110F5009D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264528</xdr:colOff>
      <xdr:row>25</xdr:row>
      <xdr:rowOff>93480</xdr:rowOff>
    </xdr:from>
    <xdr:to>
      <xdr:col>11</xdr:col>
      <xdr:colOff>1168856</xdr:colOff>
      <xdr:row>27</xdr:row>
      <xdr:rowOff>71068</xdr:rowOff>
    </xdr:to>
    <xdr:sp macro="" textlink="Q32">
      <xdr:nvSpPr>
        <xdr:cNvPr id="11" name="TextBox 10">
          <a:extLst>
            <a:ext uri="{FF2B5EF4-FFF2-40B4-BE49-F238E27FC236}">
              <a16:creationId xmlns:a16="http://schemas.microsoft.com/office/drawing/2014/main" id="{F75F83A8-20CE-413C-9C59-CE43D1CA4414}"/>
            </a:ext>
          </a:extLst>
        </xdr:cNvPr>
        <xdr:cNvSpPr txBox="1"/>
      </xdr:nvSpPr>
      <xdr:spPr>
        <a:xfrm>
          <a:off x="5194437" y="4757844"/>
          <a:ext cx="3328874" cy="347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fld id="{1507F077-F6D1-4D56-BC25-5640043E2E04}" type="TxLink">
            <a:rPr lang="en-US" sz="2400" b="1" i="0" u="none" strike="noStrike">
              <a:solidFill>
                <a:srgbClr val="FF0000"/>
              </a:solidFill>
              <a:latin typeface="Aptos Narrow"/>
            </a:rPr>
            <a:pPr/>
            <a:t>75%</a:t>
          </a:fld>
          <a:endParaRPr lang="en-US" sz="88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132095</xdr:colOff>
      <xdr:row>10</xdr:row>
      <xdr:rowOff>175461</xdr:rowOff>
    </xdr:from>
    <xdr:to>
      <xdr:col>11</xdr:col>
      <xdr:colOff>1036423</xdr:colOff>
      <xdr:row>12</xdr:row>
      <xdr:rowOff>153049</xdr:rowOff>
    </xdr:to>
    <xdr:sp macro="" textlink="Q30">
      <xdr:nvSpPr>
        <xdr:cNvPr id="17" name="TextBox 16">
          <a:extLst>
            <a:ext uri="{FF2B5EF4-FFF2-40B4-BE49-F238E27FC236}">
              <a16:creationId xmlns:a16="http://schemas.microsoft.com/office/drawing/2014/main" id="{DE48CD10-9861-42DD-B7CE-336E992EB793}"/>
            </a:ext>
          </a:extLst>
        </xdr:cNvPr>
        <xdr:cNvSpPr txBox="1"/>
      </xdr:nvSpPr>
      <xdr:spPr>
        <a:xfrm>
          <a:off x="5062004" y="2045825"/>
          <a:ext cx="3328874" cy="347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fld id="{F5D031DA-D409-4093-8A15-E92C04F0AA32}" type="TxLink">
            <a:rPr lang="en-US" sz="2400" b="1" i="0" u="none" strike="noStrike">
              <a:solidFill>
                <a:srgbClr val="92D050"/>
              </a:solidFill>
              <a:latin typeface="Aptos Narrow"/>
            </a:rPr>
            <a:pPr/>
            <a:t>25%</a:t>
          </a:fld>
          <a:endParaRPr lang="en-US" sz="4800">
            <a:solidFill>
              <a:srgbClr val="92D050"/>
            </a:solidFill>
          </a:endParaRPr>
        </a:p>
      </xdr:txBody>
    </xdr:sp>
    <xdr:clientData/>
  </xdr:twoCellAnchor>
  <xdr:twoCellAnchor>
    <xdr:from>
      <xdr:col>0</xdr:col>
      <xdr:colOff>291812</xdr:colOff>
      <xdr:row>12</xdr:row>
      <xdr:rowOff>140610</xdr:rowOff>
    </xdr:from>
    <xdr:to>
      <xdr:col>5</xdr:col>
      <xdr:colOff>554349</xdr:colOff>
      <xdr:row>14</xdr:row>
      <xdr:rowOff>121373</xdr:rowOff>
    </xdr:to>
    <xdr:sp macro="" textlink="P7">
      <xdr:nvSpPr>
        <xdr:cNvPr id="5" name="TextBox 4">
          <a:extLst>
            <a:ext uri="{FF2B5EF4-FFF2-40B4-BE49-F238E27FC236}">
              <a16:creationId xmlns:a16="http://schemas.microsoft.com/office/drawing/2014/main" id="{9DF07157-7FF9-4A32-9A27-03A4FB077787}"/>
            </a:ext>
          </a:extLst>
        </xdr:cNvPr>
        <xdr:cNvSpPr txBox="1"/>
      </xdr:nvSpPr>
      <xdr:spPr>
        <a:xfrm>
          <a:off x="291812" y="2314551"/>
          <a:ext cx="3288125" cy="3393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fld id="{A45EAFA8-8DE2-44D9-B37A-65BAAA139E33}" type="TxLink">
            <a:rPr lang="en-US" sz="1600" b="1" i="0" u="none" strike="noStrike">
              <a:solidFill>
                <a:srgbClr val="92D050"/>
              </a:solidFill>
              <a:latin typeface="Aptos Narrow"/>
            </a:rPr>
            <a:pPr/>
            <a:t>651,90</a:t>
          </a:fld>
          <a:endParaRPr lang="en-US" sz="3600">
            <a:solidFill>
              <a:srgbClr val="92D050"/>
            </a:solidFill>
          </a:endParaRPr>
        </a:p>
      </xdr:txBody>
    </xdr:sp>
    <xdr:clientData/>
  </xdr:twoCellAnchor>
  <xdr:twoCellAnchor>
    <xdr:from>
      <xdr:col>7</xdr:col>
      <xdr:colOff>535168</xdr:colOff>
      <xdr:row>12</xdr:row>
      <xdr:rowOff>163021</xdr:rowOff>
    </xdr:from>
    <xdr:to>
      <xdr:col>11</xdr:col>
      <xdr:colOff>805735</xdr:colOff>
      <xdr:row>14</xdr:row>
      <xdr:rowOff>143784</xdr:rowOff>
    </xdr:to>
    <xdr:sp macro="" textlink="P23">
      <xdr:nvSpPr>
        <xdr:cNvPr id="8" name="TextBox 7">
          <a:extLst>
            <a:ext uri="{FF2B5EF4-FFF2-40B4-BE49-F238E27FC236}">
              <a16:creationId xmlns:a16="http://schemas.microsoft.com/office/drawing/2014/main" id="{0B14B277-D985-433E-871E-BFF48B478E11}"/>
            </a:ext>
          </a:extLst>
        </xdr:cNvPr>
        <xdr:cNvSpPr txBox="1"/>
      </xdr:nvSpPr>
      <xdr:spPr>
        <a:xfrm>
          <a:off x="4804609" y="2336962"/>
          <a:ext cx="3284950" cy="3393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fld id="{77C4FCF9-6001-4312-BB90-33DD89AFE91E}" type="TxLink">
            <a:rPr lang="en-US" sz="1600" b="1" i="0" u="none" strike="noStrike">
              <a:solidFill>
                <a:srgbClr val="92D050"/>
              </a:solidFill>
              <a:latin typeface="Aptos Narrow"/>
            </a:rPr>
            <a:pPr/>
            <a:t>1327,00</a:t>
          </a:fld>
          <a:endParaRPr lang="en-US" sz="4800">
            <a:solidFill>
              <a:srgbClr val="92D050"/>
            </a:solidFill>
          </a:endParaRPr>
        </a:p>
      </xdr:txBody>
    </xdr:sp>
    <xdr:clientData/>
  </xdr:twoCellAnchor>
  <xdr:twoCellAnchor>
    <xdr:from>
      <xdr:col>1</xdr:col>
      <xdr:colOff>213371</xdr:colOff>
      <xdr:row>12</xdr:row>
      <xdr:rowOff>137434</xdr:rowOff>
    </xdr:from>
    <xdr:to>
      <xdr:col>6</xdr:col>
      <xdr:colOff>475908</xdr:colOff>
      <xdr:row>14</xdr:row>
      <xdr:rowOff>118197</xdr:rowOff>
    </xdr:to>
    <xdr:sp macro="" textlink="P7">
      <xdr:nvSpPr>
        <xdr:cNvPr id="9" name="TextBox 8">
          <a:extLst>
            <a:ext uri="{FF2B5EF4-FFF2-40B4-BE49-F238E27FC236}">
              <a16:creationId xmlns:a16="http://schemas.microsoft.com/office/drawing/2014/main" id="{ABEB788E-6325-4EB5-BF4B-EBEFCFDC3105}"/>
            </a:ext>
          </a:extLst>
        </xdr:cNvPr>
        <xdr:cNvSpPr txBox="1"/>
      </xdr:nvSpPr>
      <xdr:spPr>
        <a:xfrm>
          <a:off x="818489" y="2311375"/>
          <a:ext cx="3288125" cy="3393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r>
            <a:rPr lang="en-US" sz="1600">
              <a:solidFill>
                <a:srgbClr val="92D050"/>
              </a:solidFill>
            </a:rPr>
            <a:t>kWh</a:t>
          </a:r>
        </a:p>
      </xdr:txBody>
    </xdr:sp>
    <xdr:clientData/>
  </xdr:twoCellAnchor>
  <xdr:twoCellAnchor>
    <xdr:from>
      <xdr:col>8</xdr:col>
      <xdr:colOff>523962</xdr:colOff>
      <xdr:row>12</xdr:row>
      <xdr:rowOff>151815</xdr:rowOff>
    </xdr:from>
    <xdr:to>
      <xdr:col>11</xdr:col>
      <xdr:colOff>1399647</xdr:colOff>
      <xdr:row>14</xdr:row>
      <xdr:rowOff>135753</xdr:rowOff>
    </xdr:to>
    <xdr:sp macro="" textlink="P7">
      <xdr:nvSpPr>
        <xdr:cNvPr id="12" name="TextBox 11">
          <a:extLst>
            <a:ext uri="{FF2B5EF4-FFF2-40B4-BE49-F238E27FC236}">
              <a16:creationId xmlns:a16="http://schemas.microsoft.com/office/drawing/2014/main" id="{6DCD142E-5861-48A4-A03D-A7EE541A8ACD}"/>
            </a:ext>
          </a:extLst>
        </xdr:cNvPr>
        <xdr:cNvSpPr txBox="1"/>
      </xdr:nvSpPr>
      <xdr:spPr>
        <a:xfrm>
          <a:off x="5398521" y="2325756"/>
          <a:ext cx="3284950" cy="3425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r>
            <a:rPr lang="en-US" sz="1600">
              <a:solidFill>
                <a:srgbClr val="92D050"/>
              </a:solidFill>
            </a:rPr>
            <a:t>kWh</a:t>
          </a:r>
        </a:p>
      </xdr:txBody>
    </xdr:sp>
    <xdr:clientData/>
  </xdr:twoCellAnchor>
  <xdr:twoCellAnchor>
    <xdr:from>
      <xdr:col>1</xdr:col>
      <xdr:colOff>230927</xdr:colOff>
      <xdr:row>27</xdr:row>
      <xdr:rowOff>14170</xdr:rowOff>
    </xdr:from>
    <xdr:to>
      <xdr:col>6</xdr:col>
      <xdr:colOff>483939</xdr:colOff>
      <xdr:row>28</xdr:row>
      <xdr:rowOff>174227</xdr:rowOff>
    </xdr:to>
    <xdr:sp macro="" textlink="P7">
      <xdr:nvSpPr>
        <xdr:cNvPr id="14" name="TextBox 13">
          <a:extLst>
            <a:ext uri="{FF2B5EF4-FFF2-40B4-BE49-F238E27FC236}">
              <a16:creationId xmlns:a16="http://schemas.microsoft.com/office/drawing/2014/main" id="{F3ACA4C7-1C03-45E4-940A-1A2F53EDDA30}"/>
            </a:ext>
          </a:extLst>
        </xdr:cNvPr>
        <xdr:cNvSpPr txBox="1"/>
      </xdr:nvSpPr>
      <xdr:spPr>
        <a:xfrm>
          <a:off x="836045" y="4899935"/>
          <a:ext cx="3278600" cy="3393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r>
            <a:rPr lang="en-US" sz="1600">
              <a:solidFill>
                <a:srgbClr val="FF0000"/>
              </a:solidFill>
            </a:rPr>
            <a:t>kWh</a:t>
          </a:r>
        </a:p>
      </xdr:txBody>
    </xdr:sp>
    <xdr:clientData/>
  </xdr:twoCellAnchor>
  <xdr:twoCellAnchor>
    <xdr:from>
      <xdr:col>0</xdr:col>
      <xdr:colOff>229431</xdr:colOff>
      <xdr:row>27</xdr:row>
      <xdr:rowOff>12488</xdr:rowOff>
    </xdr:from>
    <xdr:to>
      <xdr:col>5</xdr:col>
      <xdr:colOff>495143</xdr:colOff>
      <xdr:row>28</xdr:row>
      <xdr:rowOff>159845</xdr:rowOff>
    </xdr:to>
    <xdr:sp macro="" textlink="P9">
      <xdr:nvSpPr>
        <xdr:cNvPr id="15" name="TextBox 14">
          <a:extLst>
            <a:ext uri="{FF2B5EF4-FFF2-40B4-BE49-F238E27FC236}">
              <a16:creationId xmlns:a16="http://schemas.microsoft.com/office/drawing/2014/main" id="{43C61684-4DB3-4FE8-95F6-BECFF099DA22}"/>
            </a:ext>
          </a:extLst>
        </xdr:cNvPr>
        <xdr:cNvSpPr txBox="1"/>
      </xdr:nvSpPr>
      <xdr:spPr>
        <a:xfrm>
          <a:off x="229431" y="4898253"/>
          <a:ext cx="3291300" cy="3266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fld id="{56171614-3A63-40DF-AE20-1504AFA15129}" type="TxLink">
            <a:rPr lang="en-US" sz="1600" b="1" i="0" u="none" strike="noStrike">
              <a:solidFill>
                <a:srgbClr val="FF0000"/>
              </a:solidFill>
              <a:latin typeface="Aptos Narrow"/>
            </a:rPr>
            <a:pPr/>
            <a:t>2003,64</a:t>
          </a:fld>
          <a:endParaRPr lang="en-US" sz="48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568783</xdr:colOff>
      <xdr:row>27</xdr:row>
      <xdr:rowOff>41251</xdr:rowOff>
    </xdr:from>
    <xdr:to>
      <xdr:col>11</xdr:col>
      <xdr:colOff>842525</xdr:colOff>
      <xdr:row>29</xdr:row>
      <xdr:rowOff>6139</xdr:rowOff>
    </xdr:to>
    <xdr:sp macro="" textlink="P27">
      <xdr:nvSpPr>
        <xdr:cNvPr id="16" name="TextBox 15">
          <a:extLst>
            <a:ext uri="{FF2B5EF4-FFF2-40B4-BE49-F238E27FC236}">
              <a16:creationId xmlns:a16="http://schemas.microsoft.com/office/drawing/2014/main" id="{D4C07DFF-A85A-41A8-BF30-8AE6C381777C}"/>
            </a:ext>
          </a:extLst>
        </xdr:cNvPr>
        <xdr:cNvSpPr txBox="1"/>
      </xdr:nvSpPr>
      <xdr:spPr>
        <a:xfrm>
          <a:off x="4838224" y="4927016"/>
          <a:ext cx="3288125" cy="3234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fld id="{E042A034-94F4-4027-89C2-E5A5A58B849C}" type="TxLink">
            <a:rPr lang="en-US" sz="1600" b="1" i="0" u="none" strike="noStrike">
              <a:solidFill>
                <a:srgbClr val="FF0000"/>
              </a:solidFill>
              <a:latin typeface="Aptos Narrow"/>
            </a:rPr>
            <a:pPr/>
            <a:t>3944,34</a:t>
          </a:fld>
          <a:endParaRPr lang="en-US" sz="66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611927</xdr:colOff>
      <xdr:row>27</xdr:row>
      <xdr:rowOff>14169</xdr:rowOff>
    </xdr:from>
    <xdr:to>
      <xdr:col>11</xdr:col>
      <xdr:colOff>1471737</xdr:colOff>
      <xdr:row>29</xdr:row>
      <xdr:rowOff>4457</xdr:rowOff>
    </xdr:to>
    <xdr:sp macro="" textlink="P7">
      <xdr:nvSpPr>
        <xdr:cNvPr id="18" name="TextBox 17">
          <a:extLst>
            <a:ext uri="{FF2B5EF4-FFF2-40B4-BE49-F238E27FC236}">
              <a16:creationId xmlns:a16="http://schemas.microsoft.com/office/drawing/2014/main" id="{39673810-4E90-4114-95CE-96C7F5716A42}"/>
            </a:ext>
          </a:extLst>
        </xdr:cNvPr>
        <xdr:cNvSpPr txBox="1"/>
      </xdr:nvSpPr>
      <xdr:spPr>
        <a:xfrm>
          <a:off x="5486486" y="4899934"/>
          <a:ext cx="3269075" cy="3488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r>
            <a:rPr lang="en-US" sz="1600">
              <a:solidFill>
                <a:srgbClr val="FF0000"/>
              </a:solidFill>
            </a:rPr>
            <a:t>kWh</a:t>
          </a:r>
        </a:p>
      </xdr:txBody>
    </xdr:sp>
    <xdr:clientData/>
  </xdr:twoCellAnchor>
  <xdr:twoCellAnchor>
    <xdr:from>
      <xdr:col>0</xdr:col>
      <xdr:colOff>549087</xdr:colOff>
      <xdr:row>31</xdr:row>
      <xdr:rowOff>44823</xdr:rowOff>
    </xdr:from>
    <xdr:to>
      <xdr:col>11</xdr:col>
      <xdr:colOff>1411940</xdr:colOff>
      <xdr:row>48</xdr:row>
      <xdr:rowOff>32495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6B6BAB41-FB15-1868-B6DD-34B2BB3958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5662E-F4EB-4DC6-A45E-736B1A56FCF4}">
  <dimension ref="A1:AR105"/>
  <sheetViews>
    <sheetView showGridLines="0" tabSelected="1" topLeftCell="A9" zoomScale="85" zoomScaleNormal="85" workbookViewId="0">
      <selection activeCell="AA31" sqref="AA31"/>
    </sheetView>
  </sheetViews>
  <sheetFormatPr defaultRowHeight="15" x14ac:dyDescent="0.25"/>
  <cols>
    <col min="1" max="2" width="8.7109375" customWidth="1"/>
    <col min="3" max="3" width="8.7109375" style="2"/>
    <col min="5" max="5" width="8.7109375" style="1"/>
    <col min="7" max="7" width="9.140625" customWidth="1"/>
    <col min="9" max="9" width="10.7109375" customWidth="1"/>
    <col min="10" max="10" width="8.7109375" customWidth="1"/>
    <col min="11" max="11" width="15.140625" customWidth="1"/>
    <col min="12" max="12" width="24.85546875" customWidth="1"/>
    <col min="13" max="13" width="7.5703125" customWidth="1"/>
    <col min="14" max="23" width="8.7109375" customWidth="1"/>
    <col min="24" max="27" width="8.7109375" style="13" customWidth="1"/>
    <col min="28" max="28" width="8.7109375" customWidth="1"/>
    <col min="29" max="29" width="8.7109375" style="13" customWidth="1"/>
    <col min="30" max="30" width="8.7109375" customWidth="1"/>
    <col min="31" max="31" width="17.140625" customWidth="1"/>
    <col min="32" max="32" width="16.5703125" customWidth="1"/>
    <col min="33" max="33" width="18.7109375" customWidth="1"/>
    <col min="34" max="34" width="15.28515625" customWidth="1"/>
    <col min="35" max="39" width="8.7109375" customWidth="1"/>
    <col min="40" max="40" width="26.28515625" customWidth="1"/>
  </cols>
  <sheetData>
    <row r="1" spans="1:44" x14ac:dyDescent="0.25">
      <c r="C1" s="8"/>
      <c r="E1" s="9"/>
    </row>
    <row r="2" spans="1:44" x14ac:dyDescent="0.25">
      <c r="C2" s="8"/>
      <c r="E2" s="9"/>
      <c r="N2" s="15" t="s">
        <v>72</v>
      </c>
      <c r="O2" s="6"/>
      <c r="P2" s="6"/>
      <c r="Q2" s="16"/>
    </row>
    <row r="3" spans="1:44" x14ac:dyDescent="0.25">
      <c r="C3" s="8"/>
      <c r="E3" s="9"/>
      <c r="M3" s="4"/>
      <c r="N3" s="17"/>
      <c r="O3" s="4"/>
      <c r="P3" s="4"/>
      <c r="Q3" s="18"/>
    </row>
    <row r="4" spans="1:44" x14ac:dyDescent="0.25">
      <c r="C4" s="8"/>
      <c r="E4" s="9"/>
      <c r="N4" s="17" t="s">
        <v>0</v>
      </c>
      <c r="O4" s="4"/>
      <c r="P4" s="19">
        <f>AVERAGE(Y6:Y68)</f>
        <v>12.300000000000002</v>
      </c>
      <c r="Q4" s="18" t="s">
        <v>77</v>
      </c>
      <c r="V4" s="36"/>
      <c r="W4" s="6"/>
      <c r="X4" s="37"/>
      <c r="Y4" s="37"/>
      <c r="Z4" s="37"/>
      <c r="AA4" s="37"/>
      <c r="AB4" s="6"/>
      <c r="AC4" s="37"/>
      <c r="AD4" s="16"/>
      <c r="AE4" s="36"/>
      <c r="AF4" s="6"/>
      <c r="AG4" s="6"/>
      <c r="AH4" s="6"/>
      <c r="AI4" s="16"/>
      <c r="AJ4" s="35" t="s">
        <v>1</v>
      </c>
      <c r="AK4" t="s">
        <v>2</v>
      </c>
      <c r="AL4" t="s">
        <v>3</v>
      </c>
      <c r="AM4" t="s">
        <v>4</v>
      </c>
      <c r="AO4" t="s">
        <v>1</v>
      </c>
      <c r="AP4" t="s">
        <v>2</v>
      </c>
      <c r="AQ4" t="s">
        <v>3</v>
      </c>
      <c r="AR4" t="s">
        <v>4</v>
      </c>
    </row>
    <row r="5" spans="1:44" x14ac:dyDescent="0.25">
      <c r="C5" s="8"/>
      <c r="E5" s="9"/>
      <c r="N5" s="17" t="s">
        <v>5</v>
      </c>
      <c r="O5" s="4"/>
      <c r="P5" s="20">
        <f>AVERAGE(AA6:AA68)</f>
        <v>49.176666666666669</v>
      </c>
      <c r="Q5" s="18" t="s">
        <v>77</v>
      </c>
      <c r="V5" s="7"/>
      <c r="W5" s="5" t="s">
        <v>6</v>
      </c>
      <c r="Y5" s="38" t="s">
        <v>7</v>
      </c>
      <c r="AA5" s="38" t="s">
        <v>8</v>
      </c>
      <c r="AC5" s="21" t="s">
        <v>66</v>
      </c>
      <c r="AD5" s="22"/>
      <c r="AE5" s="42" t="s">
        <v>81</v>
      </c>
      <c r="AF5" s="5" t="s">
        <v>94</v>
      </c>
      <c r="AG5" s="5" t="s">
        <v>95</v>
      </c>
      <c r="AH5" s="5" t="s">
        <v>96</v>
      </c>
      <c r="AI5" s="22"/>
      <c r="AJ5">
        <v>1</v>
      </c>
      <c r="AK5">
        <f>1</f>
        <v>1</v>
      </c>
      <c r="AL5">
        <f>IF(AJ5&lt;=($Q$30*100),1,0)</f>
        <v>1</v>
      </c>
      <c r="AM5">
        <f>IF(AJ5&lt;=($Q$32*100),1,0)</f>
        <v>1</v>
      </c>
      <c r="AO5">
        <v>1</v>
      </c>
      <c r="AP5">
        <f>1</f>
        <v>1</v>
      </c>
      <c r="AQ5">
        <f t="shared" ref="AQ5:AQ36" si="0">IF(AO5&lt;=($Q$11*100),1,0)</f>
        <v>1</v>
      </c>
      <c r="AR5">
        <f t="shared" ref="AR5:AR36" si="1">IF(AO5&lt;=($Q$13*100),1,0)</f>
        <v>1</v>
      </c>
    </row>
    <row r="6" spans="1:44" ht="15.95" customHeight="1" x14ac:dyDescent="0.25">
      <c r="A6" s="30"/>
      <c r="B6" s="30"/>
      <c r="C6" s="30"/>
      <c r="D6" s="30"/>
      <c r="E6" s="30"/>
      <c r="F6" s="12"/>
      <c r="N6" s="17" t="s">
        <v>67</v>
      </c>
      <c r="O6" s="4"/>
      <c r="P6" s="20">
        <f>IF(P4&gt;P5,0,P5-P4)</f>
        <v>36.876666666666665</v>
      </c>
      <c r="Q6" s="18" t="s">
        <v>77</v>
      </c>
      <c r="V6" s="7"/>
      <c r="W6" t="s">
        <v>9</v>
      </c>
      <c r="Y6" s="14">
        <v>0</v>
      </c>
      <c r="AA6" s="14">
        <v>66</v>
      </c>
      <c r="AC6" s="13">
        <f>IF(Y6&gt;AA6,0,AA6-Y6)</f>
        <v>66</v>
      </c>
      <c r="AD6" s="22"/>
      <c r="AE6" s="7" t="s">
        <v>82</v>
      </c>
      <c r="AF6" s="13">
        <v>34</v>
      </c>
      <c r="AG6" s="13">
        <v>64</v>
      </c>
      <c r="AH6" s="13">
        <f>IF(AF6&gt;AG6,0,AG6-AF6)</f>
        <v>30</v>
      </c>
      <c r="AI6" s="22"/>
      <c r="AJ6">
        <f>AJ5+1</f>
        <v>2</v>
      </c>
      <c r="AK6">
        <f>1</f>
        <v>1</v>
      </c>
      <c r="AL6">
        <f t="shared" ref="AL6:AL69" si="2">IF(AJ6&lt;=($Q$30*100),1,0)</f>
        <v>1</v>
      </c>
      <c r="AM6">
        <f t="shared" ref="AM6:AM69" si="3">IF(AJ6&lt;=($Q$32*100),1,0)</f>
        <v>1</v>
      </c>
      <c r="AO6">
        <f>AO5+1</f>
        <v>2</v>
      </c>
      <c r="AP6">
        <f>1</f>
        <v>1</v>
      </c>
      <c r="AQ6">
        <f t="shared" si="0"/>
        <v>1</v>
      </c>
      <c r="AR6">
        <f t="shared" si="1"/>
        <v>1</v>
      </c>
    </row>
    <row r="7" spans="1:44" x14ac:dyDescent="0.25">
      <c r="C7" s="8"/>
      <c r="E7" s="9"/>
      <c r="N7" s="7" t="s">
        <v>10</v>
      </c>
      <c r="P7" s="21">
        <f>SUM(Y6:Y59)</f>
        <v>651.90000000000009</v>
      </c>
      <c r="Q7" s="18" t="s">
        <v>77</v>
      </c>
      <c r="V7" s="7"/>
      <c r="W7" t="s">
        <v>11</v>
      </c>
      <c r="Y7" s="14">
        <v>0</v>
      </c>
      <c r="AA7" s="14">
        <v>0</v>
      </c>
      <c r="AC7" s="13">
        <f t="shared" ref="AC7:AC59" si="4">IF(Y7&gt;AA7,0,AA7-Y7)</f>
        <v>0</v>
      </c>
      <c r="AD7" s="22"/>
      <c r="AE7" s="7" t="s">
        <v>83</v>
      </c>
      <c r="AF7" s="13">
        <v>34</v>
      </c>
      <c r="AG7" s="13">
        <v>64</v>
      </c>
      <c r="AH7" s="13">
        <f t="shared" ref="AH7:AH17" si="5">IF(AF7&gt;AG7,0,AG7-AF7)</f>
        <v>30</v>
      </c>
      <c r="AI7" s="22"/>
      <c r="AJ7">
        <f t="shared" ref="AJ7:AJ70" si="6">AJ6+1</f>
        <v>3</v>
      </c>
      <c r="AK7">
        <f>1</f>
        <v>1</v>
      </c>
      <c r="AL7">
        <f t="shared" si="2"/>
        <v>1</v>
      </c>
      <c r="AM7">
        <f t="shared" si="3"/>
        <v>1</v>
      </c>
      <c r="AO7">
        <f t="shared" ref="AO7:AO70" si="7">AO6+1</f>
        <v>3</v>
      </c>
      <c r="AP7">
        <f>1</f>
        <v>1</v>
      </c>
      <c r="AQ7">
        <f t="shared" si="0"/>
        <v>1</v>
      </c>
      <c r="AR7">
        <f t="shared" si="1"/>
        <v>1</v>
      </c>
    </row>
    <row r="8" spans="1:44" x14ac:dyDescent="0.25">
      <c r="C8" s="8"/>
      <c r="E8" s="9"/>
      <c r="N8" s="7" t="s">
        <v>12</v>
      </c>
      <c r="P8" s="5">
        <f>SUM(AA6:AA68)</f>
        <v>2655.54</v>
      </c>
      <c r="Q8" s="18" t="s">
        <v>77</v>
      </c>
      <c r="V8" s="7"/>
      <c r="W8" t="s">
        <v>13</v>
      </c>
      <c r="Y8" s="14">
        <v>0</v>
      </c>
      <c r="AA8" s="14">
        <v>30</v>
      </c>
      <c r="AC8" s="13">
        <f t="shared" si="4"/>
        <v>30</v>
      </c>
      <c r="AD8" s="22"/>
      <c r="AE8" s="7" t="s">
        <v>84</v>
      </c>
      <c r="AF8" s="13">
        <v>27</v>
      </c>
      <c r="AG8" s="13">
        <v>63</v>
      </c>
      <c r="AH8" s="13">
        <f t="shared" si="5"/>
        <v>36</v>
      </c>
      <c r="AI8" s="22"/>
      <c r="AJ8">
        <f t="shared" si="6"/>
        <v>4</v>
      </c>
      <c r="AK8">
        <f>1</f>
        <v>1</v>
      </c>
      <c r="AL8">
        <f t="shared" si="2"/>
        <v>1</v>
      </c>
      <c r="AM8">
        <f t="shared" si="3"/>
        <v>1</v>
      </c>
      <c r="AO8">
        <f t="shared" si="7"/>
        <v>4</v>
      </c>
      <c r="AP8">
        <f>1</f>
        <v>1</v>
      </c>
      <c r="AQ8">
        <f t="shared" si="0"/>
        <v>1</v>
      </c>
      <c r="AR8">
        <f t="shared" si="1"/>
        <v>1</v>
      </c>
    </row>
    <row r="9" spans="1:44" x14ac:dyDescent="0.25">
      <c r="C9" s="8"/>
      <c r="E9" s="9"/>
      <c r="N9" s="17" t="s">
        <v>68</v>
      </c>
      <c r="O9" s="4"/>
      <c r="P9" s="20">
        <f>IF(P7&gt;P8,0,P8-P7)</f>
        <v>2003.6399999999999</v>
      </c>
      <c r="Q9" s="18" t="s">
        <v>77</v>
      </c>
      <c r="V9" s="7"/>
      <c r="W9" t="s">
        <v>14</v>
      </c>
      <c r="Y9" s="14">
        <v>0</v>
      </c>
      <c r="AA9" s="14">
        <v>68</v>
      </c>
      <c r="AC9" s="13">
        <f t="shared" si="4"/>
        <v>68</v>
      </c>
      <c r="AD9" s="22"/>
      <c r="AE9" s="7" t="s">
        <v>85</v>
      </c>
      <c r="AF9" s="13">
        <v>29</v>
      </c>
      <c r="AG9" s="13">
        <v>65</v>
      </c>
      <c r="AH9" s="13">
        <f t="shared" si="5"/>
        <v>36</v>
      </c>
      <c r="AI9" s="22"/>
      <c r="AJ9">
        <f t="shared" si="6"/>
        <v>5</v>
      </c>
      <c r="AK9">
        <f>1</f>
        <v>1</v>
      </c>
      <c r="AL9">
        <f t="shared" si="2"/>
        <v>1</v>
      </c>
      <c r="AM9">
        <f t="shared" si="3"/>
        <v>1</v>
      </c>
      <c r="AO9">
        <f t="shared" si="7"/>
        <v>5</v>
      </c>
      <c r="AP9">
        <f>1</f>
        <v>1</v>
      </c>
      <c r="AQ9">
        <f t="shared" si="0"/>
        <v>1</v>
      </c>
      <c r="AR9">
        <f t="shared" si="1"/>
        <v>1</v>
      </c>
    </row>
    <row r="10" spans="1:44" ht="14.45" customHeight="1" x14ac:dyDescent="0.25">
      <c r="C10" s="8"/>
      <c r="E10" s="9"/>
      <c r="N10" s="7"/>
      <c r="Q10" s="22"/>
      <c r="V10" s="7"/>
      <c r="W10" t="s">
        <v>16</v>
      </c>
      <c r="Y10" s="14">
        <v>0</v>
      </c>
      <c r="AA10" s="14">
        <v>61</v>
      </c>
      <c r="AC10" s="13">
        <f t="shared" si="4"/>
        <v>61</v>
      </c>
      <c r="AD10" s="22"/>
      <c r="AE10" s="7" t="s">
        <v>86</v>
      </c>
      <c r="AF10" s="13">
        <v>24</v>
      </c>
      <c r="AG10" s="13">
        <v>82</v>
      </c>
      <c r="AH10" s="13">
        <f t="shared" si="5"/>
        <v>58</v>
      </c>
      <c r="AI10" s="22"/>
      <c r="AJ10">
        <f t="shared" si="6"/>
        <v>6</v>
      </c>
      <c r="AK10">
        <f>1</f>
        <v>1</v>
      </c>
      <c r="AL10">
        <f t="shared" si="2"/>
        <v>1</v>
      </c>
      <c r="AM10">
        <f t="shared" si="3"/>
        <v>1</v>
      </c>
      <c r="AO10">
        <f t="shared" si="7"/>
        <v>6</v>
      </c>
      <c r="AP10">
        <f>1</f>
        <v>1</v>
      </c>
      <c r="AQ10">
        <f t="shared" si="0"/>
        <v>1</v>
      </c>
      <c r="AR10">
        <f t="shared" si="1"/>
        <v>1</v>
      </c>
    </row>
    <row r="11" spans="1:44" x14ac:dyDescent="0.25">
      <c r="C11" s="8"/>
      <c r="E11" s="9"/>
      <c r="N11" s="17" t="s">
        <v>15</v>
      </c>
      <c r="O11" s="20"/>
      <c r="P11" s="20"/>
      <c r="Q11" s="23">
        <f>Q15</f>
        <v>0.24548679364649001</v>
      </c>
      <c r="V11" s="7"/>
      <c r="W11" t="s">
        <v>17</v>
      </c>
      <c r="Y11" s="14">
        <v>0</v>
      </c>
      <c r="AA11" s="14">
        <v>0</v>
      </c>
      <c r="AC11" s="13">
        <f t="shared" si="4"/>
        <v>0</v>
      </c>
      <c r="AD11" s="22"/>
      <c r="AE11" s="7" t="s">
        <v>87</v>
      </c>
      <c r="AF11" s="13">
        <v>1.327</v>
      </c>
      <c r="AG11" s="13">
        <v>5.2713400000000004</v>
      </c>
      <c r="AH11" s="13">
        <f t="shared" si="5"/>
        <v>3.9443400000000004</v>
      </c>
      <c r="AI11" s="22"/>
      <c r="AJ11">
        <f t="shared" si="6"/>
        <v>7</v>
      </c>
      <c r="AK11">
        <f>1</f>
        <v>1</v>
      </c>
      <c r="AL11">
        <f t="shared" si="2"/>
        <v>1</v>
      </c>
      <c r="AM11">
        <f t="shared" si="3"/>
        <v>1</v>
      </c>
      <c r="AO11">
        <f t="shared" si="7"/>
        <v>7</v>
      </c>
      <c r="AP11">
        <f>1</f>
        <v>1</v>
      </c>
      <c r="AQ11">
        <f t="shared" si="0"/>
        <v>1</v>
      </c>
      <c r="AR11">
        <f t="shared" si="1"/>
        <v>1</v>
      </c>
    </row>
    <row r="12" spans="1:44" x14ac:dyDescent="0.25">
      <c r="A12" t="s">
        <v>78</v>
      </c>
      <c r="C12" s="8"/>
      <c r="E12" s="9"/>
      <c r="N12" s="17"/>
      <c r="O12" s="4"/>
      <c r="P12" s="4"/>
      <c r="Q12" s="18"/>
      <c r="V12" s="7"/>
      <c r="W12" t="s">
        <v>19</v>
      </c>
      <c r="X12">
        <v>10</v>
      </c>
      <c r="Y12" s="13">
        <f>X12+Z12</f>
        <v>50</v>
      </c>
      <c r="Z12">
        <v>40</v>
      </c>
      <c r="AA12">
        <v>38</v>
      </c>
      <c r="AC12" s="13">
        <f>IF(Y12&gt;AA12,0,AA12-Y12)</f>
        <v>0</v>
      </c>
      <c r="AD12" s="22"/>
      <c r="AE12" s="7" t="s">
        <v>88</v>
      </c>
      <c r="AF12" s="13"/>
      <c r="AG12" s="13"/>
      <c r="AH12" s="13">
        <f t="shared" si="5"/>
        <v>0</v>
      </c>
      <c r="AI12" s="22"/>
      <c r="AJ12">
        <f t="shared" si="6"/>
        <v>8</v>
      </c>
      <c r="AK12">
        <f>1</f>
        <v>1</v>
      </c>
      <c r="AL12">
        <f t="shared" si="2"/>
        <v>1</v>
      </c>
      <c r="AM12">
        <f t="shared" si="3"/>
        <v>1</v>
      </c>
      <c r="AO12">
        <f t="shared" si="7"/>
        <v>8</v>
      </c>
      <c r="AP12">
        <f>1</f>
        <v>1</v>
      </c>
      <c r="AQ12">
        <f t="shared" si="0"/>
        <v>1</v>
      </c>
      <c r="AR12">
        <f t="shared" si="1"/>
        <v>1</v>
      </c>
    </row>
    <row r="13" spans="1:44" x14ac:dyDescent="0.25">
      <c r="C13" s="8"/>
      <c r="E13" s="9"/>
      <c r="N13" s="17" t="s">
        <v>18</v>
      </c>
      <c r="O13" s="24"/>
      <c r="P13" s="4"/>
      <c r="Q13" s="23">
        <f>Q17</f>
        <v>0.75451320635350994</v>
      </c>
      <c r="V13" s="7"/>
      <c r="W13" t="s">
        <v>20</v>
      </c>
      <c r="Y13" s="13">
        <v>0</v>
      </c>
      <c r="AA13" s="14">
        <v>46</v>
      </c>
      <c r="AC13" s="13">
        <f t="shared" si="4"/>
        <v>46</v>
      </c>
      <c r="AD13" s="22"/>
      <c r="AE13" s="7" t="s">
        <v>89</v>
      </c>
      <c r="AF13" s="13"/>
      <c r="AG13" s="13"/>
      <c r="AH13" s="13">
        <f t="shared" si="5"/>
        <v>0</v>
      </c>
      <c r="AI13" s="22"/>
      <c r="AJ13">
        <f t="shared" si="6"/>
        <v>9</v>
      </c>
      <c r="AK13">
        <f>1</f>
        <v>1</v>
      </c>
      <c r="AL13">
        <f t="shared" si="2"/>
        <v>1</v>
      </c>
      <c r="AM13">
        <f t="shared" si="3"/>
        <v>1</v>
      </c>
      <c r="AO13">
        <f t="shared" si="7"/>
        <v>9</v>
      </c>
      <c r="AP13">
        <f>1</f>
        <v>1</v>
      </c>
      <c r="AQ13">
        <f t="shared" si="0"/>
        <v>1</v>
      </c>
      <c r="AR13">
        <f t="shared" si="1"/>
        <v>1</v>
      </c>
    </row>
    <row r="14" spans="1:44" x14ac:dyDescent="0.25">
      <c r="C14" s="8"/>
      <c r="E14" s="9"/>
      <c r="N14" s="17"/>
      <c r="O14" s="24"/>
      <c r="P14" s="4"/>
      <c r="Q14" s="18"/>
      <c r="V14" s="7"/>
      <c r="W14" t="s">
        <v>21</v>
      </c>
      <c r="Y14" s="13">
        <v>0</v>
      </c>
      <c r="AA14" s="14">
        <v>147</v>
      </c>
      <c r="AC14" s="13">
        <f t="shared" si="4"/>
        <v>147</v>
      </c>
      <c r="AD14" s="22"/>
      <c r="AE14" s="7" t="s">
        <v>90</v>
      </c>
      <c r="AF14" s="13"/>
      <c r="AG14" s="13"/>
      <c r="AH14" s="13">
        <f t="shared" si="5"/>
        <v>0</v>
      </c>
      <c r="AI14" s="22"/>
      <c r="AJ14">
        <f t="shared" si="6"/>
        <v>10</v>
      </c>
      <c r="AK14">
        <f>1</f>
        <v>1</v>
      </c>
      <c r="AL14">
        <f t="shared" si="2"/>
        <v>1</v>
      </c>
      <c r="AM14">
        <f t="shared" si="3"/>
        <v>1</v>
      </c>
      <c r="AO14">
        <f t="shared" si="7"/>
        <v>10</v>
      </c>
      <c r="AP14">
        <f>1</f>
        <v>1</v>
      </c>
      <c r="AQ14">
        <f t="shared" si="0"/>
        <v>1</v>
      </c>
      <c r="AR14">
        <f t="shared" si="1"/>
        <v>1</v>
      </c>
    </row>
    <row r="15" spans="1:44" x14ac:dyDescent="0.25">
      <c r="C15" s="8"/>
      <c r="E15" s="9"/>
      <c r="N15" s="17" t="s">
        <v>69</v>
      </c>
      <c r="O15" s="24"/>
      <c r="P15" s="4"/>
      <c r="Q15" s="25">
        <f>P7/P8</f>
        <v>0.24548679364649001</v>
      </c>
      <c r="V15" s="7"/>
      <c r="W15" t="s">
        <v>22</v>
      </c>
      <c r="Y15">
        <v>80</v>
      </c>
      <c r="AA15" s="14">
        <v>30</v>
      </c>
      <c r="AC15" s="13">
        <f t="shared" si="4"/>
        <v>0</v>
      </c>
      <c r="AD15" s="22"/>
      <c r="AE15" s="7" t="s">
        <v>91</v>
      </c>
      <c r="AF15" s="13"/>
      <c r="AG15" s="13"/>
      <c r="AH15" s="13">
        <f t="shared" si="5"/>
        <v>0</v>
      </c>
      <c r="AI15" s="22"/>
      <c r="AJ15">
        <f t="shared" si="6"/>
        <v>11</v>
      </c>
      <c r="AK15">
        <f>1</f>
        <v>1</v>
      </c>
      <c r="AL15">
        <f t="shared" si="2"/>
        <v>1</v>
      </c>
      <c r="AM15">
        <f t="shared" si="3"/>
        <v>1</v>
      </c>
      <c r="AO15">
        <f t="shared" si="7"/>
        <v>11</v>
      </c>
      <c r="AP15">
        <f>1</f>
        <v>1</v>
      </c>
      <c r="AQ15">
        <f t="shared" si="0"/>
        <v>1</v>
      </c>
      <c r="AR15">
        <f t="shared" si="1"/>
        <v>1</v>
      </c>
    </row>
    <row r="16" spans="1:44" x14ac:dyDescent="0.25">
      <c r="C16" s="8"/>
      <c r="E16" s="9"/>
      <c r="N16" s="7"/>
      <c r="O16" s="24"/>
      <c r="P16" s="4"/>
      <c r="Q16" s="26"/>
      <c r="V16" s="7"/>
      <c r="W16" t="s">
        <v>23</v>
      </c>
      <c r="Y16" s="13">
        <v>0</v>
      </c>
      <c r="AA16" s="14">
        <v>102</v>
      </c>
      <c r="AC16" s="13">
        <f t="shared" si="4"/>
        <v>102</v>
      </c>
      <c r="AD16" s="22"/>
      <c r="AE16" s="7" t="s">
        <v>92</v>
      </c>
      <c r="AF16" s="13"/>
      <c r="AG16" s="13"/>
      <c r="AH16" s="13">
        <f t="shared" si="5"/>
        <v>0</v>
      </c>
      <c r="AI16" s="22"/>
      <c r="AJ16">
        <f t="shared" si="6"/>
        <v>12</v>
      </c>
      <c r="AK16">
        <f>1</f>
        <v>1</v>
      </c>
      <c r="AL16">
        <f t="shared" si="2"/>
        <v>1</v>
      </c>
      <c r="AM16">
        <f t="shared" si="3"/>
        <v>1</v>
      </c>
      <c r="AO16">
        <f t="shared" si="7"/>
        <v>12</v>
      </c>
      <c r="AP16">
        <f>1</f>
        <v>1</v>
      </c>
      <c r="AQ16">
        <f t="shared" si="0"/>
        <v>1</v>
      </c>
      <c r="AR16">
        <f t="shared" si="1"/>
        <v>1</v>
      </c>
    </row>
    <row r="17" spans="1:44" x14ac:dyDescent="0.25">
      <c r="C17" s="8"/>
      <c r="E17" s="9"/>
      <c r="H17" s="4"/>
      <c r="I17" s="4"/>
      <c r="J17" s="4"/>
      <c r="K17" s="4"/>
      <c r="L17" s="4"/>
      <c r="M17" s="4"/>
      <c r="N17" s="17" t="s">
        <v>70</v>
      </c>
      <c r="O17" s="24"/>
      <c r="P17" s="4"/>
      <c r="Q17" s="25">
        <f>P9/P8</f>
        <v>0.75451320635350994</v>
      </c>
      <c r="V17" s="7"/>
      <c r="W17" t="s">
        <v>24</v>
      </c>
      <c r="Y17" s="13">
        <v>0</v>
      </c>
      <c r="AA17" s="14">
        <v>54</v>
      </c>
      <c r="AC17" s="13">
        <f t="shared" si="4"/>
        <v>54</v>
      </c>
      <c r="AD17" s="22"/>
      <c r="AE17" s="7" t="s">
        <v>93</v>
      </c>
      <c r="AF17" s="13"/>
      <c r="AG17" s="13"/>
      <c r="AH17" s="13">
        <f t="shared" si="5"/>
        <v>0</v>
      </c>
      <c r="AI17" s="22"/>
      <c r="AJ17">
        <f t="shared" si="6"/>
        <v>13</v>
      </c>
      <c r="AK17">
        <f>1</f>
        <v>1</v>
      </c>
      <c r="AL17">
        <f t="shared" si="2"/>
        <v>1</v>
      </c>
      <c r="AM17">
        <f t="shared" si="3"/>
        <v>1</v>
      </c>
      <c r="AO17">
        <f t="shared" si="7"/>
        <v>13</v>
      </c>
      <c r="AP17">
        <f>1</f>
        <v>1</v>
      </c>
      <c r="AQ17">
        <f t="shared" si="0"/>
        <v>1</v>
      </c>
      <c r="AR17">
        <f t="shared" si="1"/>
        <v>1</v>
      </c>
    </row>
    <row r="18" spans="1:44" x14ac:dyDescent="0.25">
      <c r="C18" s="8"/>
      <c r="E18" s="9"/>
      <c r="H18" s="4"/>
      <c r="I18" s="4"/>
      <c r="J18" s="4"/>
      <c r="K18" s="4"/>
      <c r="L18" s="4"/>
      <c r="N18" s="7"/>
      <c r="O18" s="3"/>
      <c r="Q18" s="27"/>
      <c r="V18" s="7"/>
      <c r="W18" t="s">
        <v>25</v>
      </c>
      <c r="Y18" s="13">
        <v>0</v>
      </c>
      <c r="AA18" s="14">
        <v>172</v>
      </c>
      <c r="AC18" s="13">
        <f t="shared" si="4"/>
        <v>172</v>
      </c>
      <c r="AD18" s="22"/>
      <c r="AE18" s="10"/>
      <c r="AF18" s="11"/>
      <c r="AG18" s="11"/>
      <c r="AH18" s="11"/>
      <c r="AI18" s="29"/>
      <c r="AJ18">
        <f t="shared" si="6"/>
        <v>14</v>
      </c>
      <c r="AK18">
        <f>1</f>
        <v>1</v>
      </c>
      <c r="AL18">
        <f t="shared" si="2"/>
        <v>1</v>
      </c>
      <c r="AM18">
        <f t="shared" si="3"/>
        <v>1</v>
      </c>
      <c r="AO18">
        <f t="shared" si="7"/>
        <v>14</v>
      </c>
      <c r="AP18">
        <f>1</f>
        <v>1</v>
      </c>
      <c r="AQ18">
        <f t="shared" si="0"/>
        <v>1</v>
      </c>
      <c r="AR18">
        <f t="shared" si="1"/>
        <v>1</v>
      </c>
    </row>
    <row r="19" spans="1:44" x14ac:dyDescent="0.25">
      <c r="C19" s="8"/>
      <c r="E19" s="9"/>
      <c r="H19" s="4"/>
      <c r="I19" s="4"/>
      <c r="J19" s="4"/>
      <c r="K19" s="4"/>
      <c r="L19" s="4"/>
      <c r="N19" s="10"/>
      <c r="O19" s="11"/>
      <c r="P19" s="28"/>
      <c r="Q19" s="29"/>
      <c r="R19" s="3"/>
      <c r="V19" s="7" t="s">
        <v>80</v>
      </c>
      <c r="W19" t="s">
        <v>26</v>
      </c>
      <c r="Y19" s="13">
        <v>10</v>
      </c>
      <c r="AA19" s="14">
        <v>50</v>
      </c>
      <c r="AC19" s="13">
        <f t="shared" si="4"/>
        <v>40</v>
      </c>
      <c r="AD19" s="22"/>
      <c r="AJ19">
        <f t="shared" si="6"/>
        <v>15</v>
      </c>
      <c r="AK19">
        <f>1</f>
        <v>1</v>
      </c>
      <c r="AL19">
        <f t="shared" si="2"/>
        <v>1</v>
      </c>
      <c r="AM19">
        <f t="shared" si="3"/>
        <v>1</v>
      </c>
      <c r="AO19">
        <f t="shared" si="7"/>
        <v>15</v>
      </c>
      <c r="AP19">
        <f>1</f>
        <v>1</v>
      </c>
      <c r="AQ19">
        <f t="shared" si="0"/>
        <v>1</v>
      </c>
      <c r="AR19">
        <f t="shared" si="1"/>
        <v>1</v>
      </c>
    </row>
    <row r="20" spans="1:44" x14ac:dyDescent="0.25">
      <c r="C20" s="8"/>
      <c r="E20" s="9"/>
      <c r="H20" s="4"/>
      <c r="I20" s="4"/>
      <c r="J20" s="4"/>
      <c r="K20" s="4"/>
      <c r="L20" s="4"/>
      <c r="P20" s="3"/>
      <c r="R20" s="3"/>
      <c r="V20" s="7"/>
      <c r="W20" t="s">
        <v>27</v>
      </c>
      <c r="Y20" s="13">
        <v>0</v>
      </c>
      <c r="AA20">
        <v>58</v>
      </c>
      <c r="AC20" s="13">
        <f t="shared" si="4"/>
        <v>58</v>
      </c>
      <c r="AD20" s="22"/>
      <c r="AJ20">
        <f t="shared" si="6"/>
        <v>16</v>
      </c>
      <c r="AK20">
        <f>1</f>
        <v>1</v>
      </c>
      <c r="AL20">
        <f t="shared" si="2"/>
        <v>1</v>
      </c>
      <c r="AM20">
        <f t="shared" si="3"/>
        <v>1</v>
      </c>
      <c r="AO20">
        <f t="shared" si="7"/>
        <v>16</v>
      </c>
      <c r="AP20">
        <f>1</f>
        <v>1</v>
      </c>
      <c r="AQ20">
        <f t="shared" si="0"/>
        <v>1</v>
      </c>
      <c r="AR20">
        <f t="shared" si="1"/>
        <v>1</v>
      </c>
    </row>
    <row r="21" spans="1:44" ht="15.95" customHeight="1" x14ac:dyDescent="0.25">
      <c r="A21" s="30"/>
      <c r="B21" s="30"/>
      <c r="C21" s="30"/>
      <c r="D21" s="30"/>
      <c r="E21" s="30"/>
      <c r="F21" s="12"/>
      <c r="H21" s="4"/>
      <c r="I21" s="4"/>
      <c r="J21" s="4"/>
      <c r="K21" s="4"/>
      <c r="L21" s="4"/>
      <c r="N21" s="15" t="s">
        <v>76</v>
      </c>
      <c r="O21" s="6"/>
      <c r="P21" s="6"/>
      <c r="Q21" s="16"/>
      <c r="R21" s="3"/>
      <c r="V21" s="7"/>
      <c r="W21" t="s">
        <v>28</v>
      </c>
      <c r="Y21" s="43">
        <v>108.6</v>
      </c>
      <c r="AA21">
        <v>104</v>
      </c>
      <c r="AC21" s="13">
        <f t="shared" si="4"/>
        <v>0</v>
      </c>
      <c r="AD21" s="22"/>
      <c r="AJ21">
        <f t="shared" si="6"/>
        <v>17</v>
      </c>
      <c r="AK21">
        <f>1</f>
        <v>1</v>
      </c>
      <c r="AL21">
        <f t="shared" si="2"/>
        <v>1</v>
      </c>
      <c r="AM21">
        <f t="shared" si="3"/>
        <v>1</v>
      </c>
      <c r="AO21">
        <f t="shared" si="7"/>
        <v>17</v>
      </c>
      <c r="AP21">
        <f>1</f>
        <v>1</v>
      </c>
      <c r="AQ21">
        <f t="shared" si="0"/>
        <v>1</v>
      </c>
      <c r="AR21">
        <f t="shared" si="1"/>
        <v>1</v>
      </c>
    </row>
    <row r="22" spans="1:44" x14ac:dyDescent="0.25">
      <c r="C22" s="8"/>
      <c r="E22" s="9"/>
      <c r="N22" s="17"/>
      <c r="O22" s="4"/>
      <c r="P22" s="4"/>
      <c r="Q22" s="18"/>
      <c r="V22" s="7"/>
      <c r="W22" t="s">
        <v>29</v>
      </c>
      <c r="Y22" s="13">
        <v>0</v>
      </c>
      <c r="AA22" s="14">
        <v>0</v>
      </c>
      <c r="AC22" s="13">
        <f t="shared" si="4"/>
        <v>0</v>
      </c>
      <c r="AD22" s="22"/>
      <c r="AJ22">
        <f t="shared" si="6"/>
        <v>18</v>
      </c>
      <c r="AK22">
        <f>1</f>
        <v>1</v>
      </c>
      <c r="AL22">
        <f t="shared" si="2"/>
        <v>1</v>
      </c>
      <c r="AM22">
        <f t="shared" si="3"/>
        <v>1</v>
      </c>
      <c r="AO22">
        <f t="shared" si="7"/>
        <v>18</v>
      </c>
      <c r="AP22">
        <f>1</f>
        <v>1</v>
      </c>
      <c r="AQ22">
        <f t="shared" si="0"/>
        <v>1</v>
      </c>
      <c r="AR22">
        <f t="shared" si="1"/>
        <v>1</v>
      </c>
    </row>
    <row r="23" spans="1:44" x14ac:dyDescent="0.25">
      <c r="C23" s="8"/>
      <c r="E23" s="9"/>
      <c r="N23" s="7" t="s">
        <v>10</v>
      </c>
      <c r="P23" s="21">
        <f>'Production By Date'!B59</f>
        <v>1327</v>
      </c>
      <c r="Q23" s="22" t="s">
        <v>77</v>
      </c>
      <c r="V23" s="7"/>
      <c r="W23" t="s">
        <v>30</v>
      </c>
      <c r="Y23">
        <v>34</v>
      </c>
      <c r="AA23" s="14">
        <v>51</v>
      </c>
      <c r="AC23" s="13">
        <f t="shared" si="4"/>
        <v>17</v>
      </c>
      <c r="AD23" s="22"/>
      <c r="AJ23">
        <f t="shared" si="6"/>
        <v>19</v>
      </c>
      <c r="AK23">
        <f>1</f>
        <v>1</v>
      </c>
      <c r="AL23">
        <f t="shared" si="2"/>
        <v>1</v>
      </c>
      <c r="AM23">
        <f t="shared" si="3"/>
        <v>1</v>
      </c>
      <c r="AO23">
        <f t="shared" si="7"/>
        <v>19</v>
      </c>
      <c r="AP23">
        <f>1</f>
        <v>1</v>
      </c>
      <c r="AQ23">
        <f t="shared" si="0"/>
        <v>1</v>
      </c>
      <c r="AR23">
        <f t="shared" si="1"/>
        <v>1</v>
      </c>
    </row>
    <row r="24" spans="1:44" x14ac:dyDescent="0.25">
      <c r="C24" s="8"/>
      <c r="E24" s="9"/>
      <c r="M24" s="20"/>
      <c r="N24" s="17"/>
      <c r="O24" s="4"/>
      <c r="P24" s="20">
        <f>P23/1000</f>
        <v>1.327</v>
      </c>
      <c r="Q24" s="18" t="s">
        <v>79</v>
      </c>
      <c r="V24" s="7"/>
      <c r="W24" t="s">
        <v>31</v>
      </c>
      <c r="Y24" s="13">
        <v>0</v>
      </c>
      <c r="AA24" s="14">
        <v>45</v>
      </c>
      <c r="AC24" s="13">
        <f t="shared" si="4"/>
        <v>45</v>
      </c>
      <c r="AD24" s="22"/>
      <c r="AJ24">
        <f t="shared" si="6"/>
        <v>20</v>
      </c>
      <c r="AK24">
        <f>1</f>
        <v>1</v>
      </c>
      <c r="AL24">
        <f t="shared" si="2"/>
        <v>1</v>
      </c>
      <c r="AM24">
        <f t="shared" si="3"/>
        <v>1</v>
      </c>
      <c r="AO24">
        <f t="shared" si="7"/>
        <v>20</v>
      </c>
      <c r="AP24">
        <f>1</f>
        <v>1</v>
      </c>
      <c r="AQ24">
        <f t="shared" si="0"/>
        <v>1</v>
      </c>
      <c r="AR24">
        <f t="shared" si="1"/>
        <v>1</v>
      </c>
    </row>
    <row r="25" spans="1:44" x14ac:dyDescent="0.25">
      <c r="C25" s="8"/>
      <c r="E25" s="9"/>
      <c r="M25" s="4"/>
      <c r="N25" s="7" t="s">
        <v>12</v>
      </c>
      <c r="P25" s="5">
        <f>'Consumption By Date'!B59</f>
        <v>5271.34</v>
      </c>
      <c r="Q25" s="22" t="s">
        <v>77</v>
      </c>
      <c r="V25" s="7"/>
      <c r="W25" t="s">
        <v>32</v>
      </c>
      <c r="Y25" s="13">
        <v>0</v>
      </c>
      <c r="AA25" s="14">
        <v>55</v>
      </c>
      <c r="AC25" s="13">
        <f t="shared" si="4"/>
        <v>55</v>
      </c>
      <c r="AD25" s="22"/>
      <c r="AJ25">
        <f t="shared" si="6"/>
        <v>21</v>
      </c>
      <c r="AK25">
        <f>1</f>
        <v>1</v>
      </c>
      <c r="AL25">
        <f t="shared" si="2"/>
        <v>1</v>
      </c>
      <c r="AM25">
        <f t="shared" si="3"/>
        <v>1</v>
      </c>
      <c r="AO25">
        <f t="shared" si="7"/>
        <v>21</v>
      </c>
      <c r="AP25">
        <f>1</f>
        <v>1</v>
      </c>
      <c r="AQ25">
        <f t="shared" si="0"/>
        <v>1</v>
      </c>
      <c r="AR25">
        <f t="shared" si="1"/>
        <v>1</v>
      </c>
    </row>
    <row r="26" spans="1:44" x14ac:dyDescent="0.25">
      <c r="C26" s="8"/>
      <c r="E26" s="9"/>
      <c r="M26" s="4"/>
      <c r="N26" s="7"/>
      <c r="P26" s="20">
        <f>P25/1000</f>
        <v>5.2713400000000004</v>
      </c>
      <c r="Q26" s="22" t="s">
        <v>79</v>
      </c>
      <c r="V26" s="7"/>
      <c r="W26" t="s">
        <v>33</v>
      </c>
      <c r="Y26" s="13">
        <v>0</v>
      </c>
      <c r="AA26">
        <v>95</v>
      </c>
      <c r="AC26" s="13">
        <f t="shared" si="4"/>
        <v>95</v>
      </c>
      <c r="AD26" s="22"/>
      <c r="AJ26">
        <f t="shared" si="6"/>
        <v>22</v>
      </c>
      <c r="AK26">
        <f>1</f>
        <v>1</v>
      </c>
      <c r="AL26">
        <f t="shared" si="2"/>
        <v>1</v>
      </c>
      <c r="AM26">
        <f t="shared" si="3"/>
        <v>1</v>
      </c>
      <c r="AO26">
        <f t="shared" si="7"/>
        <v>22</v>
      </c>
      <c r="AP26">
        <f>1</f>
        <v>1</v>
      </c>
      <c r="AQ26">
        <f t="shared" si="0"/>
        <v>1</v>
      </c>
      <c r="AR26">
        <f t="shared" si="1"/>
        <v>1</v>
      </c>
    </row>
    <row r="27" spans="1:44" x14ac:dyDescent="0.25">
      <c r="C27" s="8"/>
      <c r="E27" s="9"/>
      <c r="M27" s="4"/>
      <c r="N27" s="17" t="s">
        <v>68</v>
      </c>
      <c r="O27" s="4"/>
      <c r="P27" s="20">
        <f>IF(P23&gt;P25,0,P25-P23)</f>
        <v>3944.34</v>
      </c>
      <c r="Q27" s="22" t="s">
        <v>77</v>
      </c>
      <c r="V27" s="7"/>
      <c r="W27" t="s">
        <v>34</v>
      </c>
      <c r="Y27" s="13">
        <v>0</v>
      </c>
      <c r="AA27" s="14">
        <v>0</v>
      </c>
      <c r="AC27" s="13">
        <f t="shared" si="4"/>
        <v>0</v>
      </c>
      <c r="AD27" s="22"/>
      <c r="AJ27">
        <f t="shared" si="6"/>
        <v>23</v>
      </c>
      <c r="AK27">
        <f>1</f>
        <v>1</v>
      </c>
      <c r="AL27">
        <f t="shared" si="2"/>
        <v>1</v>
      </c>
      <c r="AM27">
        <f t="shared" si="3"/>
        <v>1</v>
      </c>
      <c r="AO27">
        <f t="shared" si="7"/>
        <v>23</v>
      </c>
      <c r="AP27">
        <f>1</f>
        <v>1</v>
      </c>
      <c r="AQ27">
        <f t="shared" si="0"/>
        <v>1</v>
      </c>
      <c r="AR27">
        <f t="shared" si="1"/>
        <v>1</v>
      </c>
    </row>
    <row r="28" spans="1:44" x14ac:dyDescent="0.25">
      <c r="C28" s="8"/>
      <c r="E28" s="9"/>
      <c r="M28" s="4"/>
      <c r="N28" s="7"/>
      <c r="P28" s="20">
        <f>P27/1000</f>
        <v>3.94434</v>
      </c>
      <c r="Q28" s="22" t="s">
        <v>79</v>
      </c>
      <c r="V28" s="7"/>
      <c r="W28" t="s">
        <v>35</v>
      </c>
      <c r="Y28" s="43">
        <v>42.5</v>
      </c>
      <c r="AA28">
        <v>56</v>
      </c>
      <c r="AC28" s="13">
        <f t="shared" si="4"/>
        <v>13.5</v>
      </c>
      <c r="AD28" s="22"/>
      <c r="AJ28">
        <f t="shared" si="6"/>
        <v>24</v>
      </c>
      <c r="AK28">
        <f>1</f>
        <v>1</v>
      </c>
      <c r="AL28">
        <f t="shared" si="2"/>
        <v>1</v>
      </c>
      <c r="AM28">
        <f t="shared" si="3"/>
        <v>1</v>
      </c>
      <c r="AO28">
        <f t="shared" si="7"/>
        <v>24</v>
      </c>
      <c r="AP28">
        <f>1</f>
        <v>1</v>
      </c>
      <c r="AQ28">
        <f t="shared" si="0"/>
        <v>1</v>
      </c>
      <c r="AR28">
        <f t="shared" si="1"/>
        <v>1</v>
      </c>
    </row>
    <row r="29" spans="1:44" x14ac:dyDescent="0.25">
      <c r="C29" s="8"/>
      <c r="E29" s="9"/>
      <c r="M29" s="4"/>
      <c r="N29" s="7"/>
      <c r="Q29" s="22"/>
      <c r="V29" s="7"/>
      <c r="W29" t="s">
        <v>36</v>
      </c>
      <c r="Y29" s="13">
        <v>0</v>
      </c>
      <c r="AA29" s="14">
        <v>50</v>
      </c>
      <c r="AC29" s="13">
        <f t="shared" si="4"/>
        <v>50</v>
      </c>
      <c r="AD29" s="22"/>
      <c r="AJ29">
        <f t="shared" si="6"/>
        <v>25</v>
      </c>
      <c r="AK29">
        <f>1</f>
        <v>1</v>
      </c>
      <c r="AL29">
        <f t="shared" si="2"/>
        <v>1</v>
      </c>
      <c r="AM29">
        <f t="shared" si="3"/>
        <v>1</v>
      </c>
      <c r="AO29">
        <f t="shared" si="7"/>
        <v>25</v>
      </c>
      <c r="AP29">
        <f>1</f>
        <v>1</v>
      </c>
      <c r="AQ29">
        <f t="shared" si="0"/>
        <v>0</v>
      </c>
      <c r="AR29">
        <f t="shared" si="1"/>
        <v>1</v>
      </c>
    </row>
    <row r="30" spans="1:44" x14ac:dyDescent="0.25">
      <c r="C30" s="8"/>
      <c r="E30" s="9"/>
      <c r="M30" s="4"/>
      <c r="N30" s="17" t="s">
        <v>15</v>
      </c>
      <c r="O30" s="20"/>
      <c r="P30" s="20"/>
      <c r="Q30" s="23">
        <f>Q34</f>
        <v>0.25173864709921956</v>
      </c>
      <c r="V30" s="7"/>
      <c r="W30" t="s">
        <v>37</v>
      </c>
      <c r="Y30" s="43">
        <v>90.8</v>
      </c>
      <c r="AA30" s="34">
        <v>59.12</v>
      </c>
      <c r="AC30" s="13">
        <f t="shared" si="4"/>
        <v>0</v>
      </c>
      <c r="AD30" s="22"/>
      <c r="AJ30">
        <f t="shared" si="6"/>
        <v>26</v>
      </c>
      <c r="AK30">
        <f>1</f>
        <v>1</v>
      </c>
      <c r="AL30">
        <f t="shared" si="2"/>
        <v>0</v>
      </c>
      <c r="AM30">
        <f t="shared" si="3"/>
        <v>1</v>
      </c>
      <c r="AO30">
        <f t="shared" si="7"/>
        <v>26</v>
      </c>
      <c r="AP30">
        <f>1</f>
        <v>1</v>
      </c>
      <c r="AQ30">
        <f t="shared" si="0"/>
        <v>0</v>
      </c>
      <c r="AR30">
        <f t="shared" si="1"/>
        <v>1</v>
      </c>
    </row>
    <row r="31" spans="1:44" x14ac:dyDescent="0.25">
      <c r="A31" s="7"/>
      <c r="C31" s="8"/>
      <c r="E31" s="9"/>
      <c r="M31" s="4"/>
      <c r="N31" s="17"/>
      <c r="O31" s="4"/>
      <c r="P31" s="4"/>
      <c r="Q31" s="18"/>
      <c r="V31" s="7"/>
      <c r="W31" t="s">
        <v>38</v>
      </c>
      <c r="Y31" s="13">
        <v>0</v>
      </c>
      <c r="AA31" s="34">
        <v>122.93</v>
      </c>
      <c r="AC31" s="13">
        <f t="shared" si="4"/>
        <v>122.93</v>
      </c>
      <c r="AD31" s="22"/>
      <c r="AJ31">
        <f t="shared" si="6"/>
        <v>27</v>
      </c>
      <c r="AK31">
        <f>1</f>
        <v>1</v>
      </c>
      <c r="AL31">
        <f t="shared" si="2"/>
        <v>0</v>
      </c>
      <c r="AM31">
        <f t="shared" si="3"/>
        <v>1</v>
      </c>
      <c r="AO31">
        <f t="shared" si="7"/>
        <v>27</v>
      </c>
      <c r="AP31">
        <f>1</f>
        <v>1</v>
      </c>
      <c r="AQ31">
        <f t="shared" si="0"/>
        <v>0</v>
      </c>
      <c r="AR31">
        <f t="shared" si="1"/>
        <v>1</v>
      </c>
    </row>
    <row r="32" spans="1:44" x14ac:dyDescent="0.25">
      <c r="A32" s="7"/>
      <c r="C32" s="8"/>
      <c r="E32" s="9"/>
      <c r="N32" s="17" t="s">
        <v>18</v>
      </c>
      <c r="O32" s="24"/>
      <c r="P32" s="4"/>
      <c r="Q32" s="23">
        <f>Q36</f>
        <v>0.74826135290078044</v>
      </c>
      <c r="V32" s="7"/>
      <c r="W32" t="s">
        <v>39</v>
      </c>
      <c r="Y32" s="13">
        <v>0</v>
      </c>
      <c r="AA32" s="14">
        <v>0</v>
      </c>
      <c r="AC32" s="13">
        <f t="shared" si="4"/>
        <v>0</v>
      </c>
      <c r="AD32" s="22"/>
      <c r="AJ32">
        <f t="shared" si="6"/>
        <v>28</v>
      </c>
      <c r="AK32">
        <f>1</f>
        <v>1</v>
      </c>
      <c r="AL32">
        <f t="shared" si="2"/>
        <v>0</v>
      </c>
      <c r="AM32">
        <f t="shared" si="3"/>
        <v>1</v>
      </c>
      <c r="AO32">
        <f t="shared" si="7"/>
        <v>28</v>
      </c>
      <c r="AP32">
        <f>1</f>
        <v>1</v>
      </c>
      <c r="AQ32">
        <f t="shared" si="0"/>
        <v>0</v>
      </c>
      <c r="AR32">
        <f t="shared" si="1"/>
        <v>1</v>
      </c>
    </row>
    <row r="33" spans="1:44" x14ac:dyDescent="0.25">
      <c r="A33" s="7"/>
      <c r="C33" s="8"/>
      <c r="E33" s="9"/>
      <c r="N33" s="17"/>
      <c r="O33" s="24"/>
      <c r="P33" s="4"/>
      <c r="Q33" s="18"/>
      <c r="R33" s="3"/>
      <c r="V33" s="7"/>
      <c r="W33" t="s">
        <v>40</v>
      </c>
      <c r="Y33" s="31">
        <v>10</v>
      </c>
      <c r="AA33" s="34">
        <v>58.51</v>
      </c>
      <c r="AC33" s="13">
        <f t="shared" si="4"/>
        <v>48.51</v>
      </c>
      <c r="AD33" s="22"/>
      <c r="AJ33">
        <f t="shared" si="6"/>
        <v>29</v>
      </c>
      <c r="AK33">
        <f>1</f>
        <v>1</v>
      </c>
      <c r="AL33">
        <f t="shared" si="2"/>
        <v>0</v>
      </c>
      <c r="AM33">
        <f t="shared" si="3"/>
        <v>1</v>
      </c>
      <c r="AO33">
        <f t="shared" si="7"/>
        <v>29</v>
      </c>
      <c r="AP33">
        <f>1</f>
        <v>1</v>
      </c>
      <c r="AQ33">
        <f t="shared" si="0"/>
        <v>0</v>
      </c>
      <c r="AR33">
        <f t="shared" si="1"/>
        <v>1</v>
      </c>
    </row>
    <row r="34" spans="1:44" ht="17.25" x14ac:dyDescent="0.3">
      <c r="A34" s="7"/>
      <c r="C34" s="8"/>
      <c r="E34" s="9"/>
      <c r="N34" s="17" t="s">
        <v>69</v>
      </c>
      <c r="O34" s="24"/>
      <c r="P34" s="4"/>
      <c r="Q34" s="25">
        <f>P23/P25</f>
        <v>0.25173864709921956</v>
      </c>
      <c r="R34" s="3"/>
      <c r="V34" s="7"/>
      <c r="W34" t="s">
        <v>41</v>
      </c>
      <c r="Y34" s="33">
        <v>28</v>
      </c>
      <c r="AA34" s="14">
        <v>29</v>
      </c>
      <c r="AC34" s="13">
        <f t="shared" si="4"/>
        <v>1</v>
      </c>
      <c r="AD34" s="22"/>
      <c r="AJ34">
        <f t="shared" si="6"/>
        <v>30</v>
      </c>
      <c r="AK34">
        <f>1</f>
        <v>1</v>
      </c>
      <c r="AL34">
        <f t="shared" si="2"/>
        <v>0</v>
      </c>
      <c r="AM34">
        <f t="shared" si="3"/>
        <v>1</v>
      </c>
      <c r="AO34">
        <f t="shared" si="7"/>
        <v>30</v>
      </c>
      <c r="AP34">
        <f>1</f>
        <v>1</v>
      </c>
      <c r="AQ34">
        <f t="shared" si="0"/>
        <v>0</v>
      </c>
      <c r="AR34">
        <f t="shared" si="1"/>
        <v>1</v>
      </c>
    </row>
    <row r="35" spans="1:44" x14ac:dyDescent="0.25">
      <c r="A35" s="7"/>
      <c r="C35" s="8"/>
      <c r="E35" s="9"/>
      <c r="N35" s="7"/>
      <c r="O35" s="24"/>
      <c r="P35" s="4"/>
      <c r="Q35" s="26"/>
      <c r="R35" s="3"/>
      <c r="V35" s="7"/>
      <c r="W35" t="s">
        <v>42</v>
      </c>
      <c r="Y35" s="13">
        <v>34</v>
      </c>
      <c r="AA35" s="14">
        <v>92</v>
      </c>
      <c r="AC35" s="13">
        <f t="shared" si="4"/>
        <v>58</v>
      </c>
      <c r="AD35" s="22"/>
      <c r="AJ35">
        <f t="shared" si="6"/>
        <v>31</v>
      </c>
      <c r="AK35">
        <f>1</f>
        <v>1</v>
      </c>
      <c r="AL35">
        <f t="shared" si="2"/>
        <v>0</v>
      </c>
      <c r="AM35">
        <f t="shared" si="3"/>
        <v>1</v>
      </c>
      <c r="AO35">
        <f t="shared" si="7"/>
        <v>31</v>
      </c>
      <c r="AP35">
        <f>1</f>
        <v>1</v>
      </c>
      <c r="AQ35">
        <f t="shared" si="0"/>
        <v>0</v>
      </c>
      <c r="AR35">
        <f t="shared" si="1"/>
        <v>1</v>
      </c>
    </row>
    <row r="36" spans="1:44" x14ac:dyDescent="0.25">
      <c r="A36" s="7"/>
      <c r="C36" s="8"/>
      <c r="E36" s="9"/>
      <c r="N36" s="17" t="s">
        <v>70</v>
      </c>
      <c r="O36" s="24"/>
      <c r="P36" s="4"/>
      <c r="Q36" s="25">
        <f>P27/P25</f>
        <v>0.74826135290078044</v>
      </c>
      <c r="R36" s="3"/>
      <c r="V36" s="7"/>
      <c r="W36" t="s">
        <v>43</v>
      </c>
      <c r="Y36" s="13">
        <v>0</v>
      </c>
      <c r="AA36" s="14">
        <v>0</v>
      </c>
      <c r="AC36" s="13">
        <f t="shared" si="4"/>
        <v>0</v>
      </c>
      <c r="AD36" s="22"/>
      <c r="AJ36">
        <f t="shared" si="6"/>
        <v>32</v>
      </c>
      <c r="AK36">
        <f>1</f>
        <v>1</v>
      </c>
      <c r="AL36">
        <f t="shared" si="2"/>
        <v>0</v>
      </c>
      <c r="AM36">
        <f t="shared" si="3"/>
        <v>1</v>
      </c>
      <c r="AO36">
        <f t="shared" si="7"/>
        <v>32</v>
      </c>
      <c r="AP36">
        <f>1</f>
        <v>1</v>
      </c>
      <c r="AQ36">
        <f t="shared" si="0"/>
        <v>0</v>
      </c>
      <c r="AR36">
        <f t="shared" si="1"/>
        <v>1</v>
      </c>
    </row>
    <row r="37" spans="1:44" x14ac:dyDescent="0.25">
      <c r="A37" s="7"/>
      <c r="C37" s="8"/>
      <c r="E37" s="9"/>
      <c r="N37" s="7"/>
      <c r="O37" s="3"/>
      <c r="Q37" s="27"/>
      <c r="R37" s="3"/>
      <c r="V37" s="7"/>
      <c r="W37" t="s">
        <v>44</v>
      </c>
      <c r="Y37" s="13">
        <v>30</v>
      </c>
      <c r="AA37" s="14">
        <v>0</v>
      </c>
      <c r="AC37" s="13">
        <f t="shared" si="4"/>
        <v>0</v>
      </c>
      <c r="AD37" s="22"/>
      <c r="AJ37">
        <f t="shared" si="6"/>
        <v>33</v>
      </c>
      <c r="AK37">
        <f>1</f>
        <v>1</v>
      </c>
      <c r="AL37">
        <f t="shared" si="2"/>
        <v>0</v>
      </c>
      <c r="AM37">
        <f t="shared" si="3"/>
        <v>1</v>
      </c>
      <c r="AO37">
        <f t="shared" si="7"/>
        <v>33</v>
      </c>
      <c r="AP37">
        <f>1</f>
        <v>1</v>
      </c>
      <c r="AQ37">
        <f t="shared" ref="AQ37:AQ68" si="8">IF(AO37&lt;=($Q$11*100),1,0)</f>
        <v>0</v>
      </c>
      <c r="AR37">
        <f t="shared" ref="AR37:AR68" si="9">IF(AO37&lt;=($Q$13*100),1,0)</f>
        <v>1</v>
      </c>
    </row>
    <row r="38" spans="1:44" x14ac:dyDescent="0.25">
      <c r="A38" s="7"/>
      <c r="C38" s="8"/>
      <c r="E38" s="9"/>
      <c r="N38" s="10"/>
      <c r="O38" s="11"/>
      <c r="P38" s="28"/>
      <c r="Q38" s="29"/>
      <c r="R38" s="3"/>
      <c r="V38" s="7"/>
      <c r="W38" t="s">
        <v>45</v>
      </c>
      <c r="Y38" s="13">
        <v>0</v>
      </c>
      <c r="AA38" s="34">
        <v>86.85</v>
      </c>
      <c r="AB38" s="39"/>
      <c r="AC38" s="13">
        <f t="shared" si="4"/>
        <v>86.85</v>
      </c>
      <c r="AD38" s="22"/>
      <c r="AJ38">
        <f t="shared" si="6"/>
        <v>34</v>
      </c>
      <c r="AK38">
        <f>1</f>
        <v>1</v>
      </c>
      <c r="AL38">
        <f t="shared" si="2"/>
        <v>0</v>
      </c>
      <c r="AM38">
        <f t="shared" si="3"/>
        <v>1</v>
      </c>
      <c r="AO38">
        <f t="shared" si="7"/>
        <v>34</v>
      </c>
      <c r="AP38">
        <f>1</f>
        <v>1</v>
      </c>
      <c r="AQ38">
        <f t="shared" si="8"/>
        <v>0</v>
      </c>
      <c r="AR38">
        <f t="shared" si="9"/>
        <v>1</v>
      </c>
    </row>
    <row r="39" spans="1:44" x14ac:dyDescent="0.25">
      <c r="A39" s="7"/>
      <c r="C39" s="8"/>
      <c r="E39" s="9"/>
      <c r="P39" s="3"/>
      <c r="R39" s="3"/>
      <c r="V39" s="7"/>
      <c r="W39" t="s">
        <v>46</v>
      </c>
      <c r="Y39" s="13">
        <v>0</v>
      </c>
      <c r="AA39" s="34">
        <v>40.130000000000003</v>
      </c>
      <c r="AB39" s="40"/>
      <c r="AC39" s="13">
        <f t="shared" si="4"/>
        <v>40.130000000000003</v>
      </c>
      <c r="AD39" s="22"/>
      <c r="AJ39">
        <f t="shared" si="6"/>
        <v>35</v>
      </c>
      <c r="AK39">
        <f>1</f>
        <v>1</v>
      </c>
      <c r="AL39">
        <f t="shared" si="2"/>
        <v>0</v>
      </c>
      <c r="AM39">
        <f t="shared" si="3"/>
        <v>1</v>
      </c>
      <c r="AO39">
        <f t="shared" si="7"/>
        <v>35</v>
      </c>
      <c r="AP39">
        <f>1</f>
        <v>1</v>
      </c>
      <c r="AQ39">
        <f t="shared" si="8"/>
        <v>0</v>
      </c>
      <c r="AR39">
        <f t="shared" si="9"/>
        <v>1</v>
      </c>
    </row>
    <row r="40" spans="1:44" x14ac:dyDescent="0.25">
      <c r="A40" s="7"/>
      <c r="C40" s="8"/>
      <c r="E40" s="9"/>
      <c r="P40" s="3"/>
      <c r="V40" s="7"/>
      <c r="W40" t="s">
        <v>47</v>
      </c>
      <c r="Y40" s="13">
        <v>0</v>
      </c>
      <c r="AA40" s="14">
        <v>0</v>
      </c>
      <c r="AC40" s="13">
        <f t="shared" si="4"/>
        <v>0</v>
      </c>
      <c r="AD40" s="22"/>
      <c r="AJ40">
        <f t="shared" si="6"/>
        <v>36</v>
      </c>
      <c r="AK40">
        <f>1</f>
        <v>1</v>
      </c>
      <c r="AL40">
        <f t="shared" si="2"/>
        <v>0</v>
      </c>
      <c r="AM40">
        <f t="shared" si="3"/>
        <v>1</v>
      </c>
      <c r="AO40">
        <f t="shared" si="7"/>
        <v>36</v>
      </c>
      <c r="AP40">
        <f>1</f>
        <v>1</v>
      </c>
      <c r="AQ40">
        <f t="shared" si="8"/>
        <v>0</v>
      </c>
      <c r="AR40">
        <f t="shared" si="9"/>
        <v>1</v>
      </c>
    </row>
    <row r="41" spans="1:44" x14ac:dyDescent="0.25">
      <c r="A41" s="7"/>
      <c r="C41" s="8"/>
      <c r="E41" s="9"/>
      <c r="V41" s="7"/>
      <c r="W41" t="s">
        <v>48</v>
      </c>
      <c r="Y41" s="13">
        <v>2</v>
      </c>
      <c r="AA41" s="14">
        <v>0</v>
      </c>
      <c r="AC41" s="13">
        <f t="shared" si="4"/>
        <v>0</v>
      </c>
      <c r="AD41" s="22"/>
      <c r="AJ41">
        <f t="shared" si="6"/>
        <v>37</v>
      </c>
      <c r="AK41">
        <f>1</f>
        <v>1</v>
      </c>
      <c r="AL41">
        <f t="shared" si="2"/>
        <v>0</v>
      </c>
      <c r="AM41">
        <f t="shared" si="3"/>
        <v>1</v>
      </c>
      <c r="AO41">
        <f t="shared" si="7"/>
        <v>37</v>
      </c>
      <c r="AP41">
        <f>1</f>
        <v>1</v>
      </c>
      <c r="AQ41">
        <f t="shared" si="8"/>
        <v>0</v>
      </c>
      <c r="AR41">
        <f t="shared" si="9"/>
        <v>1</v>
      </c>
    </row>
    <row r="42" spans="1:44" x14ac:dyDescent="0.25">
      <c r="A42" s="7"/>
      <c r="C42" s="8"/>
      <c r="E42" s="9"/>
      <c r="V42" s="7"/>
      <c r="W42" t="s">
        <v>49</v>
      </c>
      <c r="Y42">
        <v>32</v>
      </c>
      <c r="AA42">
        <v>60</v>
      </c>
      <c r="AC42" s="13">
        <f t="shared" si="4"/>
        <v>28</v>
      </c>
      <c r="AD42" s="22"/>
      <c r="AJ42">
        <f t="shared" si="6"/>
        <v>38</v>
      </c>
      <c r="AK42">
        <f>1</f>
        <v>1</v>
      </c>
      <c r="AL42">
        <f t="shared" si="2"/>
        <v>0</v>
      </c>
      <c r="AM42">
        <f t="shared" si="3"/>
        <v>1</v>
      </c>
      <c r="AO42">
        <f t="shared" si="7"/>
        <v>38</v>
      </c>
      <c r="AP42">
        <f>1</f>
        <v>1</v>
      </c>
      <c r="AQ42">
        <f t="shared" si="8"/>
        <v>0</v>
      </c>
      <c r="AR42">
        <f t="shared" si="9"/>
        <v>1</v>
      </c>
    </row>
    <row r="43" spans="1:44" x14ac:dyDescent="0.25">
      <c r="C43" s="8"/>
      <c r="E43" s="9"/>
      <c r="V43" s="7"/>
      <c r="W43" t="s">
        <v>50</v>
      </c>
      <c r="Y43" s="13">
        <v>0</v>
      </c>
      <c r="AA43" s="14">
        <v>0</v>
      </c>
      <c r="AC43" s="13">
        <f t="shared" si="4"/>
        <v>0</v>
      </c>
      <c r="AD43" s="22"/>
      <c r="AJ43">
        <f t="shared" si="6"/>
        <v>39</v>
      </c>
      <c r="AK43">
        <f>1</f>
        <v>1</v>
      </c>
      <c r="AL43">
        <f t="shared" si="2"/>
        <v>0</v>
      </c>
      <c r="AM43">
        <f t="shared" si="3"/>
        <v>1</v>
      </c>
      <c r="AO43">
        <f t="shared" si="7"/>
        <v>39</v>
      </c>
      <c r="AP43">
        <f>1</f>
        <v>1</v>
      </c>
      <c r="AQ43">
        <f t="shared" si="8"/>
        <v>0</v>
      </c>
      <c r="AR43">
        <f t="shared" si="9"/>
        <v>1</v>
      </c>
    </row>
    <row r="44" spans="1:44" x14ac:dyDescent="0.25">
      <c r="C44" s="8"/>
      <c r="E44" s="9"/>
      <c r="V44" s="7"/>
      <c r="W44" t="s">
        <v>51</v>
      </c>
      <c r="Y44" s="13">
        <v>0</v>
      </c>
      <c r="AA44" s="14">
        <v>0</v>
      </c>
      <c r="AC44" s="13">
        <f t="shared" si="4"/>
        <v>0</v>
      </c>
      <c r="AD44" s="22"/>
      <c r="AJ44">
        <f t="shared" si="6"/>
        <v>40</v>
      </c>
      <c r="AK44">
        <f>1</f>
        <v>1</v>
      </c>
      <c r="AL44">
        <f t="shared" si="2"/>
        <v>0</v>
      </c>
      <c r="AM44">
        <f t="shared" si="3"/>
        <v>1</v>
      </c>
      <c r="AO44">
        <f t="shared" si="7"/>
        <v>40</v>
      </c>
      <c r="AP44">
        <f>1</f>
        <v>1</v>
      </c>
      <c r="AQ44">
        <f t="shared" si="8"/>
        <v>0</v>
      </c>
      <c r="AR44">
        <f t="shared" si="9"/>
        <v>1</v>
      </c>
    </row>
    <row r="45" spans="1:44" x14ac:dyDescent="0.25">
      <c r="C45" s="8"/>
      <c r="E45" s="9"/>
      <c r="V45" s="7"/>
      <c r="W45" t="s">
        <v>52</v>
      </c>
      <c r="Y45" s="13">
        <v>0</v>
      </c>
      <c r="AA45" s="14">
        <v>40</v>
      </c>
      <c r="AC45" s="13">
        <f t="shared" si="4"/>
        <v>40</v>
      </c>
      <c r="AD45" s="22"/>
      <c r="AJ45">
        <f t="shared" si="6"/>
        <v>41</v>
      </c>
      <c r="AK45">
        <f>1</f>
        <v>1</v>
      </c>
      <c r="AL45">
        <f t="shared" si="2"/>
        <v>0</v>
      </c>
      <c r="AM45">
        <f t="shared" si="3"/>
        <v>1</v>
      </c>
      <c r="AO45">
        <f t="shared" si="7"/>
        <v>41</v>
      </c>
      <c r="AP45">
        <f>1</f>
        <v>1</v>
      </c>
      <c r="AQ45">
        <f t="shared" si="8"/>
        <v>0</v>
      </c>
      <c r="AR45">
        <f t="shared" si="9"/>
        <v>1</v>
      </c>
    </row>
    <row r="46" spans="1:44" x14ac:dyDescent="0.25">
      <c r="C46" s="8"/>
      <c r="E46" s="9"/>
      <c r="V46" s="7"/>
      <c r="W46" t="s">
        <v>53</v>
      </c>
      <c r="Y46" s="13">
        <v>0</v>
      </c>
      <c r="AA46" s="14">
        <v>0</v>
      </c>
      <c r="AC46" s="13">
        <f t="shared" si="4"/>
        <v>0</v>
      </c>
      <c r="AD46" s="22"/>
      <c r="AJ46">
        <f t="shared" si="6"/>
        <v>42</v>
      </c>
      <c r="AK46">
        <f>1</f>
        <v>1</v>
      </c>
      <c r="AL46">
        <f t="shared" si="2"/>
        <v>0</v>
      </c>
      <c r="AM46">
        <f t="shared" si="3"/>
        <v>1</v>
      </c>
      <c r="AO46">
        <f t="shared" si="7"/>
        <v>42</v>
      </c>
      <c r="AP46">
        <f>1</f>
        <v>1</v>
      </c>
      <c r="AQ46">
        <f t="shared" si="8"/>
        <v>0</v>
      </c>
      <c r="AR46">
        <f t="shared" si="9"/>
        <v>1</v>
      </c>
    </row>
    <row r="47" spans="1:44" x14ac:dyDescent="0.25">
      <c r="C47" s="8"/>
      <c r="E47" s="9"/>
      <c r="V47" s="7"/>
      <c r="W47" t="s">
        <v>54</v>
      </c>
      <c r="AA47" s="14">
        <v>70</v>
      </c>
      <c r="AC47" s="13">
        <f t="shared" si="4"/>
        <v>70</v>
      </c>
      <c r="AD47" s="22"/>
      <c r="AJ47">
        <f t="shared" si="6"/>
        <v>43</v>
      </c>
      <c r="AK47">
        <f>1</f>
        <v>1</v>
      </c>
      <c r="AL47">
        <f t="shared" si="2"/>
        <v>0</v>
      </c>
      <c r="AM47">
        <f t="shared" si="3"/>
        <v>1</v>
      </c>
      <c r="AO47">
        <f t="shared" si="7"/>
        <v>43</v>
      </c>
      <c r="AP47">
        <f>1</f>
        <v>1</v>
      </c>
      <c r="AQ47">
        <f t="shared" si="8"/>
        <v>0</v>
      </c>
      <c r="AR47">
        <f t="shared" si="9"/>
        <v>1</v>
      </c>
    </row>
    <row r="48" spans="1:44" x14ac:dyDescent="0.25">
      <c r="V48" s="7"/>
      <c r="W48" t="s">
        <v>55</v>
      </c>
      <c r="Y48" s="13">
        <v>0</v>
      </c>
      <c r="AA48" s="14">
        <v>0</v>
      </c>
      <c r="AC48" s="13">
        <f t="shared" si="4"/>
        <v>0</v>
      </c>
      <c r="AD48" s="22"/>
      <c r="AJ48">
        <f t="shared" si="6"/>
        <v>44</v>
      </c>
      <c r="AK48">
        <f>1</f>
        <v>1</v>
      </c>
      <c r="AL48">
        <f t="shared" si="2"/>
        <v>0</v>
      </c>
      <c r="AM48">
        <f t="shared" si="3"/>
        <v>1</v>
      </c>
      <c r="AO48">
        <f t="shared" si="7"/>
        <v>44</v>
      </c>
      <c r="AP48">
        <f>1</f>
        <v>1</v>
      </c>
      <c r="AQ48">
        <f t="shared" si="8"/>
        <v>0</v>
      </c>
      <c r="AR48">
        <f t="shared" si="9"/>
        <v>1</v>
      </c>
    </row>
    <row r="49" spans="22:44" x14ac:dyDescent="0.25">
      <c r="V49" s="7"/>
      <c r="W49" t="s">
        <v>56</v>
      </c>
      <c r="Y49" s="13">
        <v>0</v>
      </c>
      <c r="AA49" s="14">
        <v>0</v>
      </c>
      <c r="AC49" s="13">
        <f t="shared" si="4"/>
        <v>0</v>
      </c>
      <c r="AD49" s="22"/>
      <c r="AJ49">
        <f t="shared" si="6"/>
        <v>45</v>
      </c>
      <c r="AK49">
        <f>1</f>
        <v>1</v>
      </c>
      <c r="AL49">
        <f t="shared" si="2"/>
        <v>0</v>
      </c>
      <c r="AM49">
        <f t="shared" si="3"/>
        <v>1</v>
      </c>
      <c r="AO49">
        <f t="shared" si="7"/>
        <v>45</v>
      </c>
      <c r="AP49">
        <f>1</f>
        <v>1</v>
      </c>
      <c r="AQ49">
        <f t="shared" si="8"/>
        <v>0</v>
      </c>
      <c r="AR49">
        <f t="shared" si="9"/>
        <v>1</v>
      </c>
    </row>
    <row r="50" spans="22:44" x14ac:dyDescent="0.25">
      <c r="V50" s="7"/>
      <c r="W50" t="s">
        <v>57</v>
      </c>
      <c r="Y50" s="13">
        <v>0</v>
      </c>
      <c r="AA50" s="14">
        <v>80</v>
      </c>
      <c r="AC50" s="13">
        <f t="shared" si="4"/>
        <v>80</v>
      </c>
      <c r="AD50" s="22"/>
      <c r="AJ50">
        <f t="shared" si="6"/>
        <v>46</v>
      </c>
      <c r="AK50">
        <f>1</f>
        <v>1</v>
      </c>
      <c r="AL50">
        <f t="shared" si="2"/>
        <v>0</v>
      </c>
      <c r="AM50">
        <f t="shared" si="3"/>
        <v>1</v>
      </c>
      <c r="AO50">
        <f t="shared" si="7"/>
        <v>46</v>
      </c>
      <c r="AP50">
        <f>1</f>
        <v>1</v>
      </c>
      <c r="AQ50">
        <f t="shared" si="8"/>
        <v>0</v>
      </c>
      <c r="AR50">
        <f t="shared" si="9"/>
        <v>1</v>
      </c>
    </row>
    <row r="51" spans="22:44" x14ac:dyDescent="0.25">
      <c r="V51" s="7"/>
      <c r="W51" t="s">
        <v>58</v>
      </c>
      <c r="Y51" s="13">
        <v>0</v>
      </c>
      <c r="AA51" s="14">
        <v>0</v>
      </c>
      <c r="AC51" s="13">
        <f t="shared" si="4"/>
        <v>0</v>
      </c>
      <c r="AD51" s="22"/>
      <c r="AJ51">
        <f t="shared" si="6"/>
        <v>47</v>
      </c>
      <c r="AK51">
        <f>1</f>
        <v>1</v>
      </c>
      <c r="AL51">
        <f t="shared" si="2"/>
        <v>0</v>
      </c>
      <c r="AM51">
        <f t="shared" si="3"/>
        <v>1</v>
      </c>
      <c r="AO51">
        <f t="shared" si="7"/>
        <v>47</v>
      </c>
      <c r="AP51">
        <f>1</f>
        <v>1</v>
      </c>
      <c r="AQ51">
        <f t="shared" si="8"/>
        <v>0</v>
      </c>
      <c r="AR51">
        <f t="shared" si="9"/>
        <v>1</v>
      </c>
    </row>
    <row r="52" spans="22:44" x14ac:dyDescent="0.25">
      <c r="V52" s="7"/>
      <c r="W52" t="s">
        <v>59</v>
      </c>
      <c r="Y52" s="13">
        <v>0</v>
      </c>
      <c r="AA52" s="14">
        <v>170</v>
      </c>
      <c r="AC52" s="13">
        <f t="shared" si="4"/>
        <v>170</v>
      </c>
      <c r="AD52" s="22"/>
      <c r="AJ52">
        <f t="shared" si="6"/>
        <v>48</v>
      </c>
      <c r="AK52">
        <f>1</f>
        <v>1</v>
      </c>
      <c r="AL52">
        <f t="shared" si="2"/>
        <v>0</v>
      </c>
      <c r="AM52">
        <f t="shared" si="3"/>
        <v>1</v>
      </c>
      <c r="AO52">
        <f t="shared" si="7"/>
        <v>48</v>
      </c>
      <c r="AP52">
        <f>1</f>
        <v>1</v>
      </c>
      <c r="AQ52">
        <f t="shared" si="8"/>
        <v>0</v>
      </c>
      <c r="AR52">
        <f t="shared" si="9"/>
        <v>1</v>
      </c>
    </row>
    <row r="53" spans="22:44" x14ac:dyDescent="0.25">
      <c r="V53" s="7"/>
      <c r="W53" t="s">
        <v>60</v>
      </c>
      <c r="Y53" s="13">
        <v>0</v>
      </c>
      <c r="AA53" s="14">
        <v>30</v>
      </c>
      <c r="AC53" s="13">
        <f t="shared" si="4"/>
        <v>30</v>
      </c>
      <c r="AD53" s="22"/>
      <c r="AJ53">
        <f t="shared" si="6"/>
        <v>49</v>
      </c>
      <c r="AK53">
        <f>1</f>
        <v>1</v>
      </c>
      <c r="AL53">
        <f t="shared" si="2"/>
        <v>0</v>
      </c>
      <c r="AM53">
        <f t="shared" si="3"/>
        <v>1</v>
      </c>
      <c r="AO53">
        <f t="shared" si="7"/>
        <v>49</v>
      </c>
      <c r="AP53">
        <f>1</f>
        <v>1</v>
      </c>
      <c r="AQ53">
        <f t="shared" si="8"/>
        <v>0</v>
      </c>
      <c r="AR53">
        <f t="shared" si="9"/>
        <v>1</v>
      </c>
    </row>
    <row r="54" spans="22:44" x14ac:dyDescent="0.25">
      <c r="V54" s="7"/>
      <c r="W54" t="s">
        <v>61</v>
      </c>
      <c r="Y54">
        <v>41</v>
      </c>
      <c r="AA54">
        <v>225</v>
      </c>
      <c r="AC54" s="13">
        <f t="shared" si="4"/>
        <v>184</v>
      </c>
      <c r="AD54" s="22"/>
      <c r="AJ54">
        <f t="shared" si="6"/>
        <v>50</v>
      </c>
      <c r="AK54">
        <f>1</f>
        <v>1</v>
      </c>
      <c r="AL54">
        <f t="shared" si="2"/>
        <v>0</v>
      </c>
      <c r="AM54">
        <f t="shared" si="3"/>
        <v>1</v>
      </c>
      <c r="AO54">
        <f t="shared" si="7"/>
        <v>50</v>
      </c>
      <c r="AP54">
        <f>1</f>
        <v>1</v>
      </c>
      <c r="AQ54">
        <f t="shared" si="8"/>
        <v>0</v>
      </c>
      <c r="AR54">
        <f t="shared" si="9"/>
        <v>1</v>
      </c>
    </row>
    <row r="55" spans="22:44" x14ac:dyDescent="0.25">
      <c r="V55" s="7"/>
      <c r="W55" t="s">
        <v>62</v>
      </c>
      <c r="Y55" s="13">
        <v>0</v>
      </c>
      <c r="AA55" s="14">
        <v>53</v>
      </c>
      <c r="AC55" s="13">
        <f t="shared" si="4"/>
        <v>53</v>
      </c>
      <c r="AD55" s="22"/>
      <c r="AJ55">
        <f t="shared" si="6"/>
        <v>51</v>
      </c>
      <c r="AK55">
        <f>1</f>
        <v>1</v>
      </c>
      <c r="AL55">
        <f t="shared" si="2"/>
        <v>0</v>
      </c>
      <c r="AM55">
        <f t="shared" si="3"/>
        <v>1</v>
      </c>
      <c r="AO55">
        <f t="shared" si="7"/>
        <v>51</v>
      </c>
      <c r="AP55">
        <f>1</f>
        <v>1</v>
      </c>
      <c r="AQ55">
        <f t="shared" si="8"/>
        <v>0</v>
      </c>
      <c r="AR55">
        <f t="shared" si="9"/>
        <v>1</v>
      </c>
    </row>
    <row r="56" spans="22:44" x14ac:dyDescent="0.25">
      <c r="V56" s="7"/>
      <c r="W56" t="s">
        <v>63</v>
      </c>
      <c r="Y56" s="13">
        <v>0</v>
      </c>
      <c r="AA56" s="14">
        <v>0</v>
      </c>
      <c r="AC56" s="13">
        <f t="shared" si="4"/>
        <v>0</v>
      </c>
      <c r="AD56" s="22"/>
      <c r="AJ56">
        <f t="shared" si="6"/>
        <v>52</v>
      </c>
      <c r="AK56">
        <f>1</f>
        <v>1</v>
      </c>
      <c r="AL56">
        <f t="shared" si="2"/>
        <v>0</v>
      </c>
      <c r="AM56">
        <f t="shared" si="3"/>
        <v>1</v>
      </c>
      <c r="AO56">
        <f t="shared" si="7"/>
        <v>52</v>
      </c>
      <c r="AP56">
        <f>1</f>
        <v>1</v>
      </c>
      <c r="AQ56">
        <f t="shared" si="8"/>
        <v>0</v>
      </c>
      <c r="AR56">
        <f t="shared" si="9"/>
        <v>1</v>
      </c>
    </row>
    <row r="57" spans="22:44" x14ac:dyDescent="0.25">
      <c r="V57" s="7"/>
      <c r="W57" t="s">
        <v>64</v>
      </c>
      <c r="Y57" s="13">
        <v>0</v>
      </c>
      <c r="AA57" s="14">
        <v>0</v>
      </c>
      <c r="AC57" s="13">
        <f t="shared" si="4"/>
        <v>0</v>
      </c>
      <c r="AD57" s="22"/>
      <c r="AJ57">
        <f t="shared" si="6"/>
        <v>53</v>
      </c>
      <c r="AK57">
        <f>1</f>
        <v>1</v>
      </c>
      <c r="AL57">
        <f t="shared" si="2"/>
        <v>0</v>
      </c>
      <c r="AM57">
        <f t="shared" si="3"/>
        <v>1</v>
      </c>
      <c r="AO57">
        <f t="shared" si="7"/>
        <v>53</v>
      </c>
      <c r="AP57">
        <f>1</f>
        <v>1</v>
      </c>
      <c r="AQ57">
        <f t="shared" si="8"/>
        <v>0</v>
      </c>
      <c r="AR57">
        <f t="shared" si="9"/>
        <v>1</v>
      </c>
    </row>
    <row r="58" spans="22:44" x14ac:dyDescent="0.25">
      <c r="V58" s="7"/>
      <c r="W58" t="s">
        <v>65</v>
      </c>
      <c r="Y58" s="13">
        <v>0</v>
      </c>
      <c r="AA58" s="14">
        <v>0</v>
      </c>
      <c r="AC58" s="13">
        <f t="shared" si="4"/>
        <v>0</v>
      </c>
      <c r="AD58" s="22"/>
      <c r="AJ58">
        <f t="shared" si="6"/>
        <v>54</v>
      </c>
      <c r="AK58">
        <f>1</f>
        <v>1</v>
      </c>
      <c r="AL58">
        <f t="shared" si="2"/>
        <v>0</v>
      </c>
      <c r="AM58">
        <f t="shared" si="3"/>
        <v>1</v>
      </c>
      <c r="AO58">
        <f t="shared" si="7"/>
        <v>54</v>
      </c>
      <c r="AP58">
        <f>1</f>
        <v>1</v>
      </c>
      <c r="AQ58">
        <f t="shared" si="8"/>
        <v>0</v>
      </c>
      <c r="AR58">
        <f t="shared" si="9"/>
        <v>1</v>
      </c>
    </row>
    <row r="59" spans="22:44" x14ac:dyDescent="0.25">
      <c r="V59" s="7"/>
      <c r="W59" t="s">
        <v>71</v>
      </c>
      <c r="Y59">
        <v>59</v>
      </c>
      <c r="AA59">
        <v>61</v>
      </c>
      <c r="AC59" s="13">
        <f t="shared" si="4"/>
        <v>2</v>
      </c>
      <c r="AD59" s="22"/>
      <c r="AJ59">
        <f t="shared" si="6"/>
        <v>55</v>
      </c>
      <c r="AK59">
        <f>1</f>
        <v>1</v>
      </c>
      <c r="AL59">
        <f t="shared" si="2"/>
        <v>0</v>
      </c>
      <c r="AM59">
        <f t="shared" si="3"/>
        <v>1</v>
      </c>
      <c r="AO59">
        <f t="shared" si="7"/>
        <v>55</v>
      </c>
      <c r="AP59">
        <f>1</f>
        <v>1</v>
      </c>
      <c r="AQ59">
        <f t="shared" si="8"/>
        <v>0</v>
      </c>
      <c r="AR59">
        <f t="shared" si="9"/>
        <v>1</v>
      </c>
    </row>
    <row r="60" spans="22:44" x14ac:dyDescent="0.25">
      <c r="V60" s="10"/>
      <c r="W60" s="11"/>
      <c r="X60" s="41"/>
      <c r="Y60" s="41"/>
      <c r="Z60" s="41"/>
      <c r="AA60" s="41"/>
      <c r="AB60" s="11"/>
      <c r="AC60" s="41"/>
      <c r="AD60" s="29"/>
      <c r="AJ60">
        <f t="shared" si="6"/>
        <v>56</v>
      </c>
      <c r="AK60">
        <f>1</f>
        <v>1</v>
      </c>
      <c r="AL60">
        <f t="shared" si="2"/>
        <v>0</v>
      </c>
      <c r="AM60">
        <f t="shared" si="3"/>
        <v>1</v>
      </c>
      <c r="AO60">
        <f t="shared" si="7"/>
        <v>56</v>
      </c>
      <c r="AP60">
        <f>1</f>
        <v>1</v>
      </c>
      <c r="AQ60">
        <f t="shared" si="8"/>
        <v>0</v>
      </c>
      <c r="AR60">
        <f t="shared" si="9"/>
        <v>1</v>
      </c>
    </row>
    <row r="61" spans="22:44" x14ac:dyDescent="0.25">
      <c r="AJ61">
        <f t="shared" si="6"/>
        <v>57</v>
      </c>
      <c r="AK61">
        <f>1</f>
        <v>1</v>
      </c>
      <c r="AL61">
        <f t="shared" si="2"/>
        <v>0</v>
      </c>
      <c r="AM61">
        <f t="shared" si="3"/>
        <v>1</v>
      </c>
      <c r="AO61">
        <f t="shared" si="7"/>
        <v>57</v>
      </c>
      <c r="AP61">
        <f>1</f>
        <v>1</v>
      </c>
      <c r="AQ61">
        <f t="shared" si="8"/>
        <v>0</v>
      </c>
      <c r="AR61">
        <f t="shared" si="9"/>
        <v>1</v>
      </c>
    </row>
    <row r="62" spans="22:44" x14ac:dyDescent="0.25">
      <c r="AJ62">
        <f t="shared" si="6"/>
        <v>58</v>
      </c>
      <c r="AK62">
        <f>1</f>
        <v>1</v>
      </c>
      <c r="AL62">
        <f t="shared" si="2"/>
        <v>0</v>
      </c>
      <c r="AM62">
        <f t="shared" si="3"/>
        <v>1</v>
      </c>
      <c r="AO62">
        <f t="shared" si="7"/>
        <v>58</v>
      </c>
      <c r="AP62">
        <f>1</f>
        <v>1</v>
      </c>
      <c r="AQ62">
        <f t="shared" si="8"/>
        <v>0</v>
      </c>
      <c r="AR62">
        <f t="shared" si="9"/>
        <v>1</v>
      </c>
    </row>
    <row r="63" spans="22:44" x14ac:dyDescent="0.25">
      <c r="AJ63">
        <f t="shared" si="6"/>
        <v>59</v>
      </c>
      <c r="AK63">
        <f>1</f>
        <v>1</v>
      </c>
      <c r="AL63">
        <f t="shared" si="2"/>
        <v>0</v>
      </c>
      <c r="AM63">
        <f t="shared" si="3"/>
        <v>1</v>
      </c>
      <c r="AO63">
        <f t="shared" si="7"/>
        <v>59</v>
      </c>
      <c r="AP63">
        <f>1</f>
        <v>1</v>
      </c>
      <c r="AQ63">
        <f t="shared" si="8"/>
        <v>0</v>
      </c>
      <c r="AR63">
        <f t="shared" si="9"/>
        <v>1</v>
      </c>
    </row>
    <row r="64" spans="22:44" x14ac:dyDescent="0.25">
      <c r="AJ64">
        <f t="shared" si="6"/>
        <v>60</v>
      </c>
      <c r="AK64">
        <f>1</f>
        <v>1</v>
      </c>
      <c r="AL64">
        <f t="shared" si="2"/>
        <v>0</v>
      </c>
      <c r="AM64">
        <f t="shared" si="3"/>
        <v>1</v>
      </c>
      <c r="AO64">
        <f t="shared" si="7"/>
        <v>60</v>
      </c>
      <c r="AP64">
        <f>1</f>
        <v>1</v>
      </c>
      <c r="AQ64">
        <f t="shared" si="8"/>
        <v>0</v>
      </c>
      <c r="AR64">
        <f t="shared" si="9"/>
        <v>1</v>
      </c>
    </row>
    <row r="65" spans="36:44" x14ac:dyDescent="0.25">
      <c r="AJ65">
        <f t="shared" si="6"/>
        <v>61</v>
      </c>
      <c r="AK65">
        <f>1</f>
        <v>1</v>
      </c>
      <c r="AL65">
        <f t="shared" si="2"/>
        <v>0</v>
      </c>
      <c r="AM65">
        <f t="shared" si="3"/>
        <v>1</v>
      </c>
      <c r="AO65">
        <f t="shared" si="7"/>
        <v>61</v>
      </c>
      <c r="AP65">
        <f>1</f>
        <v>1</v>
      </c>
      <c r="AQ65">
        <f t="shared" si="8"/>
        <v>0</v>
      </c>
      <c r="AR65">
        <f t="shared" si="9"/>
        <v>1</v>
      </c>
    </row>
    <row r="66" spans="36:44" x14ac:dyDescent="0.25">
      <c r="AJ66">
        <f t="shared" si="6"/>
        <v>62</v>
      </c>
      <c r="AK66">
        <f>1</f>
        <v>1</v>
      </c>
      <c r="AL66">
        <f t="shared" si="2"/>
        <v>0</v>
      </c>
      <c r="AM66">
        <f t="shared" si="3"/>
        <v>1</v>
      </c>
      <c r="AO66">
        <f t="shared" si="7"/>
        <v>62</v>
      </c>
      <c r="AP66">
        <f>1</f>
        <v>1</v>
      </c>
      <c r="AQ66">
        <f t="shared" si="8"/>
        <v>0</v>
      </c>
      <c r="AR66">
        <f t="shared" si="9"/>
        <v>1</v>
      </c>
    </row>
    <row r="67" spans="36:44" x14ac:dyDescent="0.25">
      <c r="AJ67">
        <f t="shared" si="6"/>
        <v>63</v>
      </c>
      <c r="AK67">
        <f>1</f>
        <v>1</v>
      </c>
      <c r="AL67">
        <f t="shared" si="2"/>
        <v>0</v>
      </c>
      <c r="AM67">
        <f t="shared" si="3"/>
        <v>1</v>
      </c>
      <c r="AO67">
        <f t="shared" si="7"/>
        <v>63</v>
      </c>
      <c r="AP67">
        <f>1</f>
        <v>1</v>
      </c>
      <c r="AQ67">
        <f t="shared" si="8"/>
        <v>0</v>
      </c>
      <c r="AR67">
        <f t="shared" si="9"/>
        <v>1</v>
      </c>
    </row>
    <row r="68" spans="36:44" x14ac:dyDescent="0.25">
      <c r="AJ68">
        <f t="shared" si="6"/>
        <v>64</v>
      </c>
      <c r="AK68">
        <f>1</f>
        <v>1</v>
      </c>
      <c r="AL68">
        <f t="shared" si="2"/>
        <v>0</v>
      </c>
      <c r="AM68">
        <f t="shared" si="3"/>
        <v>1</v>
      </c>
      <c r="AO68">
        <f t="shared" si="7"/>
        <v>64</v>
      </c>
      <c r="AP68">
        <f>1</f>
        <v>1</v>
      </c>
      <c r="AQ68">
        <f t="shared" si="8"/>
        <v>0</v>
      </c>
      <c r="AR68">
        <f t="shared" si="9"/>
        <v>1</v>
      </c>
    </row>
    <row r="69" spans="36:44" x14ac:dyDescent="0.25">
      <c r="AJ69">
        <f t="shared" si="6"/>
        <v>65</v>
      </c>
      <c r="AK69">
        <f>1</f>
        <v>1</v>
      </c>
      <c r="AL69">
        <f t="shared" si="2"/>
        <v>0</v>
      </c>
      <c r="AM69">
        <f t="shared" si="3"/>
        <v>1</v>
      </c>
      <c r="AO69">
        <f t="shared" si="7"/>
        <v>65</v>
      </c>
      <c r="AP69">
        <f>1</f>
        <v>1</v>
      </c>
      <c r="AQ69">
        <f t="shared" ref="AQ69:AQ104" si="10">IF(AO69&lt;=($Q$11*100),1,0)</f>
        <v>0</v>
      </c>
      <c r="AR69">
        <f t="shared" ref="AR69:AR104" si="11">IF(AO69&lt;=($Q$13*100),1,0)</f>
        <v>1</v>
      </c>
    </row>
    <row r="70" spans="36:44" x14ac:dyDescent="0.25">
      <c r="AJ70">
        <f t="shared" si="6"/>
        <v>66</v>
      </c>
      <c r="AK70">
        <f>1</f>
        <v>1</v>
      </c>
      <c r="AL70">
        <f t="shared" ref="AL70:AL104" si="12">IF(AJ70&lt;=($Q$30*100),1,0)</f>
        <v>0</v>
      </c>
      <c r="AM70">
        <f t="shared" ref="AM70:AM104" si="13">IF(AJ70&lt;=($Q$32*100),1,0)</f>
        <v>1</v>
      </c>
      <c r="AO70">
        <f t="shared" si="7"/>
        <v>66</v>
      </c>
      <c r="AP70">
        <f>1</f>
        <v>1</v>
      </c>
      <c r="AQ70">
        <f t="shared" si="10"/>
        <v>0</v>
      </c>
      <c r="AR70">
        <f t="shared" si="11"/>
        <v>1</v>
      </c>
    </row>
    <row r="71" spans="36:44" x14ac:dyDescent="0.25">
      <c r="AJ71">
        <f t="shared" ref="AJ71:AJ105" si="14">AJ70+1</f>
        <v>67</v>
      </c>
      <c r="AK71">
        <f>1</f>
        <v>1</v>
      </c>
      <c r="AL71">
        <f t="shared" si="12"/>
        <v>0</v>
      </c>
      <c r="AM71">
        <f t="shared" si="13"/>
        <v>1</v>
      </c>
      <c r="AO71">
        <f t="shared" ref="AO71:AO105" si="15">AO70+1</f>
        <v>67</v>
      </c>
      <c r="AP71">
        <f>1</f>
        <v>1</v>
      </c>
      <c r="AQ71">
        <f t="shared" si="10"/>
        <v>0</v>
      </c>
      <c r="AR71">
        <f t="shared" si="11"/>
        <v>1</v>
      </c>
    </row>
    <row r="72" spans="36:44" x14ac:dyDescent="0.25">
      <c r="AJ72">
        <f t="shared" si="14"/>
        <v>68</v>
      </c>
      <c r="AK72">
        <f>1</f>
        <v>1</v>
      </c>
      <c r="AL72">
        <f t="shared" si="12"/>
        <v>0</v>
      </c>
      <c r="AM72">
        <f t="shared" si="13"/>
        <v>1</v>
      </c>
      <c r="AO72">
        <f t="shared" si="15"/>
        <v>68</v>
      </c>
      <c r="AP72">
        <f>1</f>
        <v>1</v>
      </c>
      <c r="AQ72">
        <f t="shared" si="10"/>
        <v>0</v>
      </c>
      <c r="AR72">
        <f t="shared" si="11"/>
        <v>1</v>
      </c>
    </row>
    <row r="73" spans="36:44" x14ac:dyDescent="0.25">
      <c r="AJ73">
        <f t="shared" si="14"/>
        <v>69</v>
      </c>
      <c r="AK73">
        <f>1</f>
        <v>1</v>
      </c>
      <c r="AL73">
        <f t="shared" si="12"/>
        <v>0</v>
      </c>
      <c r="AM73">
        <f t="shared" si="13"/>
        <v>1</v>
      </c>
      <c r="AO73">
        <f t="shared" si="15"/>
        <v>69</v>
      </c>
      <c r="AP73">
        <f>1</f>
        <v>1</v>
      </c>
      <c r="AQ73">
        <f t="shared" si="10"/>
        <v>0</v>
      </c>
      <c r="AR73">
        <f t="shared" si="11"/>
        <v>1</v>
      </c>
    </row>
    <row r="74" spans="36:44" x14ac:dyDescent="0.25">
      <c r="AJ74">
        <f t="shared" si="14"/>
        <v>70</v>
      </c>
      <c r="AK74">
        <f>1</f>
        <v>1</v>
      </c>
      <c r="AL74">
        <f t="shared" si="12"/>
        <v>0</v>
      </c>
      <c r="AM74">
        <f t="shared" si="13"/>
        <v>1</v>
      </c>
      <c r="AO74">
        <f t="shared" si="15"/>
        <v>70</v>
      </c>
      <c r="AP74">
        <f>1</f>
        <v>1</v>
      </c>
      <c r="AQ74">
        <f t="shared" si="10"/>
        <v>0</v>
      </c>
      <c r="AR74">
        <f t="shared" si="11"/>
        <v>1</v>
      </c>
    </row>
    <row r="75" spans="36:44" x14ac:dyDescent="0.25">
      <c r="AJ75">
        <f t="shared" si="14"/>
        <v>71</v>
      </c>
      <c r="AK75">
        <f>1</f>
        <v>1</v>
      </c>
      <c r="AL75">
        <f t="shared" si="12"/>
        <v>0</v>
      </c>
      <c r="AM75">
        <f t="shared" si="13"/>
        <v>1</v>
      </c>
      <c r="AO75">
        <f t="shared" si="15"/>
        <v>71</v>
      </c>
      <c r="AP75">
        <f>1</f>
        <v>1</v>
      </c>
      <c r="AQ75">
        <f t="shared" si="10"/>
        <v>0</v>
      </c>
      <c r="AR75">
        <f t="shared" si="11"/>
        <v>1</v>
      </c>
    </row>
    <row r="76" spans="36:44" x14ac:dyDescent="0.25">
      <c r="AJ76">
        <f t="shared" si="14"/>
        <v>72</v>
      </c>
      <c r="AK76">
        <f>1</f>
        <v>1</v>
      </c>
      <c r="AL76">
        <f t="shared" si="12"/>
        <v>0</v>
      </c>
      <c r="AM76">
        <f t="shared" si="13"/>
        <v>1</v>
      </c>
      <c r="AO76">
        <f t="shared" si="15"/>
        <v>72</v>
      </c>
      <c r="AP76">
        <f>1</f>
        <v>1</v>
      </c>
      <c r="AQ76">
        <f t="shared" si="10"/>
        <v>0</v>
      </c>
      <c r="AR76">
        <f t="shared" si="11"/>
        <v>1</v>
      </c>
    </row>
    <row r="77" spans="36:44" x14ac:dyDescent="0.25">
      <c r="AJ77">
        <f t="shared" si="14"/>
        <v>73</v>
      </c>
      <c r="AK77">
        <f>1</f>
        <v>1</v>
      </c>
      <c r="AL77">
        <f t="shared" si="12"/>
        <v>0</v>
      </c>
      <c r="AM77">
        <f t="shared" si="13"/>
        <v>1</v>
      </c>
      <c r="AO77">
        <f t="shared" si="15"/>
        <v>73</v>
      </c>
      <c r="AP77">
        <f>1</f>
        <v>1</v>
      </c>
      <c r="AQ77">
        <f t="shared" si="10"/>
        <v>0</v>
      </c>
      <c r="AR77">
        <f t="shared" si="11"/>
        <v>1</v>
      </c>
    </row>
    <row r="78" spans="36:44" x14ac:dyDescent="0.25">
      <c r="AJ78">
        <f t="shared" si="14"/>
        <v>74</v>
      </c>
      <c r="AK78">
        <f>1</f>
        <v>1</v>
      </c>
      <c r="AL78">
        <f t="shared" si="12"/>
        <v>0</v>
      </c>
      <c r="AM78">
        <f t="shared" si="13"/>
        <v>1</v>
      </c>
      <c r="AO78">
        <f t="shared" si="15"/>
        <v>74</v>
      </c>
      <c r="AP78">
        <f>1</f>
        <v>1</v>
      </c>
      <c r="AQ78">
        <f t="shared" si="10"/>
        <v>0</v>
      </c>
      <c r="AR78">
        <f t="shared" si="11"/>
        <v>1</v>
      </c>
    </row>
    <row r="79" spans="36:44" x14ac:dyDescent="0.25">
      <c r="AJ79">
        <f t="shared" si="14"/>
        <v>75</v>
      </c>
      <c r="AK79">
        <f>1</f>
        <v>1</v>
      </c>
      <c r="AL79">
        <f t="shared" si="12"/>
        <v>0</v>
      </c>
      <c r="AM79">
        <f t="shared" si="13"/>
        <v>0</v>
      </c>
      <c r="AO79">
        <f t="shared" si="15"/>
        <v>75</v>
      </c>
      <c r="AP79">
        <f>1</f>
        <v>1</v>
      </c>
      <c r="AQ79">
        <f t="shared" si="10"/>
        <v>0</v>
      </c>
      <c r="AR79">
        <f t="shared" si="11"/>
        <v>1</v>
      </c>
    </row>
    <row r="80" spans="36:44" x14ac:dyDescent="0.25">
      <c r="AJ80">
        <f t="shared" si="14"/>
        <v>76</v>
      </c>
      <c r="AK80">
        <f>1</f>
        <v>1</v>
      </c>
      <c r="AL80">
        <f t="shared" si="12"/>
        <v>0</v>
      </c>
      <c r="AM80">
        <f t="shared" si="13"/>
        <v>0</v>
      </c>
      <c r="AO80">
        <f t="shared" si="15"/>
        <v>76</v>
      </c>
      <c r="AP80">
        <f>1</f>
        <v>1</v>
      </c>
      <c r="AQ80">
        <f t="shared" si="10"/>
        <v>0</v>
      </c>
      <c r="AR80">
        <f t="shared" si="11"/>
        <v>0</v>
      </c>
    </row>
    <row r="81" spans="36:44" x14ac:dyDescent="0.25">
      <c r="AJ81">
        <f t="shared" si="14"/>
        <v>77</v>
      </c>
      <c r="AK81">
        <f>1</f>
        <v>1</v>
      </c>
      <c r="AL81">
        <f t="shared" si="12"/>
        <v>0</v>
      </c>
      <c r="AM81">
        <f t="shared" si="13"/>
        <v>0</v>
      </c>
      <c r="AO81">
        <f t="shared" si="15"/>
        <v>77</v>
      </c>
      <c r="AP81">
        <f>1</f>
        <v>1</v>
      </c>
      <c r="AQ81">
        <f t="shared" si="10"/>
        <v>0</v>
      </c>
      <c r="AR81">
        <f t="shared" si="11"/>
        <v>0</v>
      </c>
    </row>
    <row r="82" spans="36:44" x14ac:dyDescent="0.25">
      <c r="AJ82">
        <f t="shared" si="14"/>
        <v>78</v>
      </c>
      <c r="AK82">
        <f>1</f>
        <v>1</v>
      </c>
      <c r="AL82">
        <f t="shared" si="12"/>
        <v>0</v>
      </c>
      <c r="AM82">
        <f t="shared" si="13"/>
        <v>0</v>
      </c>
      <c r="AO82">
        <f t="shared" si="15"/>
        <v>78</v>
      </c>
      <c r="AP82">
        <f>1</f>
        <v>1</v>
      </c>
      <c r="AQ82">
        <f t="shared" si="10"/>
        <v>0</v>
      </c>
      <c r="AR82">
        <f t="shared" si="11"/>
        <v>0</v>
      </c>
    </row>
    <row r="83" spans="36:44" x14ac:dyDescent="0.25">
      <c r="AJ83">
        <f t="shared" si="14"/>
        <v>79</v>
      </c>
      <c r="AK83">
        <f>1</f>
        <v>1</v>
      </c>
      <c r="AL83">
        <f t="shared" si="12"/>
        <v>0</v>
      </c>
      <c r="AM83">
        <f t="shared" si="13"/>
        <v>0</v>
      </c>
      <c r="AO83">
        <f t="shared" si="15"/>
        <v>79</v>
      </c>
      <c r="AP83">
        <f>1</f>
        <v>1</v>
      </c>
      <c r="AQ83">
        <f t="shared" si="10"/>
        <v>0</v>
      </c>
      <c r="AR83">
        <f t="shared" si="11"/>
        <v>0</v>
      </c>
    </row>
    <row r="84" spans="36:44" x14ac:dyDescent="0.25">
      <c r="AJ84">
        <f t="shared" si="14"/>
        <v>80</v>
      </c>
      <c r="AK84">
        <f>1</f>
        <v>1</v>
      </c>
      <c r="AL84">
        <f t="shared" si="12"/>
        <v>0</v>
      </c>
      <c r="AM84">
        <f t="shared" si="13"/>
        <v>0</v>
      </c>
      <c r="AO84">
        <f t="shared" si="15"/>
        <v>80</v>
      </c>
      <c r="AP84">
        <f>1</f>
        <v>1</v>
      </c>
      <c r="AQ84">
        <f t="shared" si="10"/>
        <v>0</v>
      </c>
      <c r="AR84">
        <f t="shared" si="11"/>
        <v>0</v>
      </c>
    </row>
    <row r="85" spans="36:44" x14ac:dyDescent="0.25">
      <c r="AJ85">
        <f t="shared" si="14"/>
        <v>81</v>
      </c>
      <c r="AK85">
        <f>1</f>
        <v>1</v>
      </c>
      <c r="AL85">
        <f t="shared" si="12"/>
        <v>0</v>
      </c>
      <c r="AM85">
        <f t="shared" si="13"/>
        <v>0</v>
      </c>
      <c r="AO85">
        <f t="shared" si="15"/>
        <v>81</v>
      </c>
      <c r="AP85">
        <f>1</f>
        <v>1</v>
      </c>
      <c r="AQ85">
        <f t="shared" si="10"/>
        <v>0</v>
      </c>
      <c r="AR85">
        <f t="shared" si="11"/>
        <v>0</v>
      </c>
    </row>
    <row r="86" spans="36:44" x14ac:dyDescent="0.25">
      <c r="AJ86">
        <f t="shared" si="14"/>
        <v>82</v>
      </c>
      <c r="AK86">
        <f>1</f>
        <v>1</v>
      </c>
      <c r="AL86">
        <f t="shared" si="12"/>
        <v>0</v>
      </c>
      <c r="AM86">
        <f t="shared" si="13"/>
        <v>0</v>
      </c>
      <c r="AO86">
        <f t="shared" si="15"/>
        <v>82</v>
      </c>
      <c r="AP86">
        <f>1</f>
        <v>1</v>
      </c>
      <c r="AQ86">
        <f t="shared" si="10"/>
        <v>0</v>
      </c>
      <c r="AR86">
        <f t="shared" si="11"/>
        <v>0</v>
      </c>
    </row>
    <row r="87" spans="36:44" x14ac:dyDescent="0.25">
      <c r="AJ87">
        <f t="shared" si="14"/>
        <v>83</v>
      </c>
      <c r="AK87">
        <f>1</f>
        <v>1</v>
      </c>
      <c r="AL87">
        <f t="shared" si="12"/>
        <v>0</v>
      </c>
      <c r="AM87">
        <f t="shared" si="13"/>
        <v>0</v>
      </c>
      <c r="AO87">
        <f t="shared" si="15"/>
        <v>83</v>
      </c>
      <c r="AP87">
        <f>1</f>
        <v>1</v>
      </c>
      <c r="AQ87">
        <f t="shared" si="10"/>
        <v>0</v>
      </c>
      <c r="AR87">
        <f t="shared" si="11"/>
        <v>0</v>
      </c>
    </row>
    <row r="88" spans="36:44" x14ac:dyDescent="0.25">
      <c r="AJ88">
        <f t="shared" si="14"/>
        <v>84</v>
      </c>
      <c r="AK88">
        <f>1</f>
        <v>1</v>
      </c>
      <c r="AL88">
        <f t="shared" si="12"/>
        <v>0</v>
      </c>
      <c r="AM88">
        <f t="shared" si="13"/>
        <v>0</v>
      </c>
      <c r="AO88">
        <f t="shared" si="15"/>
        <v>84</v>
      </c>
      <c r="AP88">
        <f>1</f>
        <v>1</v>
      </c>
      <c r="AQ88">
        <f t="shared" si="10"/>
        <v>0</v>
      </c>
      <c r="AR88">
        <f t="shared" si="11"/>
        <v>0</v>
      </c>
    </row>
    <row r="89" spans="36:44" x14ac:dyDescent="0.25">
      <c r="AJ89">
        <f t="shared" si="14"/>
        <v>85</v>
      </c>
      <c r="AK89">
        <f>1</f>
        <v>1</v>
      </c>
      <c r="AL89">
        <f t="shared" si="12"/>
        <v>0</v>
      </c>
      <c r="AM89">
        <f t="shared" si="13"/>
        <v>0</v>
      </c>
      <c r="AO89">
        <f t="shared" si="15"/>
        <v>85</v>
      </c>
      <c r="AP89">
        <f>1</f>
        <v>1</v>
      </c>
      <c r="AQ89">
        <f t="shared" si="10"/>
        <v>0</v>
      </c>
      <c r="AR89">
        <f t="shared" si="11"/>
        <v>0</v>
      </c>
    </row>
    <row r="90" spans="36:44" x14ac:dyDescent="0.25">
      <c r="AJ90">
        <f t="shared" si="14"/>
        <v>86</v>
      </c>
      <c r="AK90">
        <f>1</f>
        <v>1</v>
      </c>
      <c r="AL90">
        <f t="shared" si="12"/>
        <v>0</v>
      </c>
      <c r="AM90">
        <f t="shared" si="13"/>
        <v>0</v>
      </c>
      <c r="AO90">
        <f t="shared" si="15"/>
        <v>86</v>
      </c>
      <c r="AP90">
        <f>1</f>
        <v>1</v>
      </c>
      <c r="AQ90">
        <f t="shared" si="10"/>
        <v>0</v>
      </c>
      <c r="AR90">
        <f t="shared" si="11"/>
        <v>0</v>
      </c>
    </row>
    <row r="91" spans="36:44" x14ac:dyDescent="0.25">
      <c r="AJ91">
        <f t="shared" si="14"/>
        <v>87</v>
      </c>
      <c r="AK91">
        <f>1</f>
        <v>1</v>
      </c>
      <c r="AL91">
        <f t="shared" si="12"/>
        <v>0</v>
      </c>
      <c r="AM91">
        <f t="shared" si="13"/>
        <v>0</v>
      </c>
      <c r="AO91">
        <f t="shared" si="15"/>
        <v>87</v>
      </c>
      <c r="AP91">
        <f>1</f>
        <v>1</v>
      </c>
      <c r="AQ91">
        <f t="shared" si="10"/>
        <v>0</v>
      </c>
      <c r="AR91">
        <f t="shared" si="11"/>
        <v>0</v>
      </c>
    </row>
    <row r="92" spans="36:44" x14ac:dyDescent="0.25">
      <c r="AJ92">
        <f t="shared" si="14"/>
        <v>88</v>
      </c>
      <c r="AK92">
        <f>1</f>
        <v>1</v>
      </c>
      <c r="AL92">
        <f t="shared" si="12"/>
        <v>0</v>
      </c>
      <c r="AM92">
        <f t="shared" si="13"/>
        <v>0</v>
      </c>
      <c r="AO92">
        <f t="shared" si="15"/>
        <v>88</v>
      </c>
      <c r="AP92">
        <f>1</f>
        <v>1</v>
      </c>
      <c r="AQ92">
        <f t="shared" si="10"/>
        <v>0</v>
      </c>
      <c r="AR92">
        <f t="shared" si="11"/>
        <v>0</v>
      </c>
    </row>
    <row r="93" spans="36:44" x14ac:dyDescent="0.25">
      <c r="AJ93">
        <f t="shared" si="14"/>
        <v>89</v>
      </c>
      <c r="AK93">
        <f>1</f>
        <v>1</v>
      </c>
      <c r="AL93">
        <f t="shared" si="12"/>
        <v>0</v>
      </c>
      <c r="AM93">
        <f t="shared" si="13"/>
        <v>0</v>
      </c>
      <c r="AO93">
        <f t="shared" si="15"/>
        <v>89</v>
      </c>
      <c r="AP93">
        <f>1</f>
        <v>1</v>
      </c>
      <c r="AQ93">
        <f t="shared" si="10"/>
        <v>0</v>
      </c>
      <c r="AR93">
        <f t="shared" si="11"/>
        <v>0</v>
      </c>
    </row>
    <row r="94" spans="36:44" x14ac:dyDescent="0.25">
      <c r="AJ94">
        <f t="shared" si="14"/>
        <v>90</v>
      </c>
      <c r="AK94">
        <f>1</f>
        <v>1</v>
      </c>
      <c r="AL94">
        <f t="shared" si="12"/>
        <v>0</v>
      </c>
      <c r="AM94">
        <f t="shared" si="13"/>
        <v>0</v>
      </c>
      <c r="AO94">
        <f t="shared" si="15"/>
        <v>90</v>
      </c>
      <c r="AP94">
        <f>1</f>
        <v>1</v>
      </c>
      <c r="AQ94">
        <f t="shared" si="10"/>
        <v>0</v>
      </c>
      <c r="AR94">
        <f t="shared" si="11"/>
        <v>0</v>
      </c>
    </row>
    <row r="95" spans="36:44" x14ac:dyDescent="0.25">
      <c r="AJ95">
        <f t="shared" si="14"/>
        <v>91</v>
      </c>
      <c r="AK95">
        <f>1</f>
        <v>1</v>
      </c>
      <c r="AL95">
        <f t="shared" si="12"/>
        <v>0</v>
      </c>
      <c r="AM95">
        <f t="shared" si="13"/>
        <v>0</v>
      </c>
      <c r="AO95">
        <f t="shared" si="15"/>
        <v>91</v>
      </c>
      <c r="AP95">
        <f>1</f>
        <v>1</v>
      </c>
      <c r="AQ95">
        <f t="shared" si="10"/>
        <v>0</v>
      </c>
      <c r="AR95">
        <f t="shared" si="11"/>
        <v>0</v>
      </c>
    </row>
    <row r="96" spans="36:44" x14ac:dyDescent="0.25">
      <c r="AJ96">
        <f t="shared" si="14"/>
        <v>92</v>
      </c>
      <c r="AK96">
        <f>1</f>
        <v>1</v>
      </c>
      <c r="AL96">
        <f t="shared" si="12"/>
        <v>0</v>
      </c>
      <c r="AM96">
        <f t="shared" si="13"/>
        <v>0</v>
      </c>
      <c r="AO96">
        <f t="shared" si="15"/>
        <v>92</v>
      </c>
      <c r="AP96">
        <f>1</f>
        <v>1</v>
      </c>
      <c r="AQ96">
        <f t="shared" si="10"/>
        <v>0</v>
      </c>
      <c r="AR96">
        <f t="shared" si="11"/>
        <v>0</v>
      </c>
    </row>
    <row r="97" spans="36:44" x14ac:dyDescent="0.25">
      <c r="AJ97">
        <f t="shared" si="14"/>
        <v>93</v>
      </c>
      <c r="AK97">
        <f>1</f>
        <v>1</v>
      </c>
      <c r="AL97">
        <f t="shared" si="12"/>
        <v>0</v>
      </c>
      <c r="AM97">
        <f t="shared" si="13"/>
        <v>0</v>
      </c>
      <c r="AO97">
        <f t="shared" si="15"/>
        <v>93</v>
      </c>
      <c r="AP97">
        <f>1</f>
        <v>1</v>
      </c>
      <c r="AQ97">
        <f t="shared" si="10"/>
        <v>0</v>
      </c>
      <c r="AR97">
        <f t="shared" si="11"/>
        <v>0</v>
      </c>
    </row>
    <row r="98" spans="36:44" x14ac:dyDescent="0.25">
      <c r="AJ98">
        <f t="shared" si="14"/>
        <v>94</v>
      </c>
      <c r="AK98">
        <f>1</f>
        <v>1</v>
      </c>
      <c r="AL98">
        <f t="shared" si="12"/>
        <v>0</v>
      </c>
      <c r="AM98">
        <f t="shared" si="13"/>
        <v>0</v>
      </c>
      <c r="AO98">
        <f t="shared" si="15"/>
        <v>94</v>
      </c>
      <c r="AP98">
        <f>1</f>
        <v>1</v>
      </c>
      <c r="AQ98">
        <f t="shared" si="10"/>
        <v>0</v>
      </c>
      <c r="AR98">
        <f t="shared" si="11"/>
        <v>0</v>
      </c>
    </row>
    <row r="99" spans="36:44" x14ac:dyDescent="0.25">
      <c r="AJ99">
        <f t="shared" si="14"/>
        <v>95</v>
      </c>
      <c r="AK99">
        <f>1</f>
        <v>1</v>
      </c>
      <c r="AL99">
        <f t="shared" si="12"/>
        <v>0</v>
      </c>
      <c r="AM99">
        <f t="shared" si="13"/>
        <v>0</v>
      </c>
      <c r="AO99">
        <f t="shared" si="15"/>
        <v>95</v>
      </c>
      <c r="AP99">
        <f>1</f>
        <v>1</v>
      </c>
      <c r="AQ99">
        <f t="shared" si="10"/>
        <v>0</v>
      </c>
      <c r="AR99">
        <f t="shared" si="11"/>
        <v>0</v>
      </c>
    </row>
    <row r="100" spans="36:44" x14ac:dyDescent="0.25">
      <c r="AJ100">
        <f t="shared" si="14"/>
        <v>96</v>
      </c>
      <c r="AK100">
        <f>1</f>
        <v>1</v>
      </c>
      <c r="AL100">
        <f t="shared" si="12"/>
        <v>0</v>
      </c>
      <c r="AM100">
        <f t="shared" si="13"/>
        <v>0</v>
      </c>
      <c r="AO100">
        <f t="shared" si="15"/>
        <v>96</v>
      </c>
      <c r="AP100">
        <f>1</f>
        <v>1</v>
      </c>
      <c r="AQ100">
        <f t="shared" si="10"/>
        <v>0</v>
      </c>
      <c r="AR100">
        <f t="shared" si="11"/>
        <v>0</v>
      </c>
    </row>
    <row r="101" spans="36:44" x14ac:dyDescent="0.25">
      <c r="AJ101">
        <f t="shared" si="14"/>
        <v>97</v>
      </c>
      <c r="AK101">
        <f>1</f>
        <v>1</v>
      </c>
      <c r="AL101">
        <f t="shared" si="12"/>
        <v>0</v>
      </c>
      <c r="AM101">
        <f t="shared" si="13"/>
        <v>0</v>
      </c>
      <c r="AO101">
        <f t="shared" si="15"/>
        <v>97</v>
      </c>
      <c r="AP101">
        <f>1</f>
        <v>1</v>
      </c>
      <c r="AQ101">
        <f t="shared" si="10"/>
        <v>0</v>
      </c>
      <c r="AR101">
        <f t="shared" si="11"/>
        <v>0</v>
      </c>
    </row>
    <row r="102" spans="36:44" x14ac:dyDescent="0.25">
      <c r="AJ102">
        <f t="shared" si="14"/>
        <v>98</v>
      </c>
      <c r="AK102">
        <f>1</f>
        <v>1</v>
      </c>
      <c r="AL102">
        <f t="shared" si="12"/>
        <v>0</v>
      </c>
      <c r="AM102">
        <f t="shared" si="13"/>
        <v>0</v>
      </c>
      <c r="AO102">
        <f t="shared" si="15"/>
        <v>98</v>
      </c>
      <c r="AP102">
        <f>1</f>
        <v>1</v>
      </c>
      <c r="AQ102">
        <f t="shared" si="10"/>
        <v>0</v>
      </c>
      <c r="AR102">
        <f t="shared" si="11"/>
        <v>0</v>
      </c>
    </row>
    <row r="103" spans="36:44" x14ac:dyDescent="0.25">
      <c r="AJ103">
        <f t="shared" si="14"/>
        <v>99</v>
      </c>
      <c r="AK103">
        <f>1</f>
        <v>1</v>
      </c>
      <c r="AL103">
        <f t="shared" si="12"/>
        <v>0</v>
      </c>
      <c r="AM103">
        <f t="shared" si="13"/>
        <v>0</v>
      </c>
      <c r="AO103">
        <f t="shared" si="15"/>
        <v>99</v>
      </c>
      <c r="AP103">
        <f>1</f>
        <v>1</v>
      </c>
      <c r="AQ103">
        <f t="shared" si="10"/>
        <v>0</v>
      </c>
      <c r="AR103">
        <f t="shared" si="11"/>
        <v>0</v>
      </c>
    </row>
    <row r="104" spans="36:44" x14ac:dyDescent="0.25">
      <c r="AJ104">
        <f t="shared" si="14"/>
        <v>100</v>
      </c>
      <c r="AK104">
        <f>1</f>
        <v>1</v>
      </c>
      <c r="AL104">
        <f t="shared" si="12"/>
        <v>0</v>
      </c>
      <c r="AM104">
        <f t="shared" si="13"/>
        <v>0</v>
      </c>
      <c r="AO104">
        <f t="shared" si="15"/>
        <v>100</v>
      </c>
      <c r="AP104">
        <f>1</f>
        <v>1</v>
      </c>
      <c r="AQ104">
        <f t="shared" si="10"/>
        <v>0</v>
      </c>
      <c r="AR104">
        <f t="shared" si="11"/>
        <v>0</v>
      </c>
    </row>
    <row r="105" spans="36:44" x14ac:dyDescent="0.25">
      <c r="AJ105">
        <f t="shared" si="14"/>
        <v>101</v>
      </c>
      <c r="AK105">
        <v>100</v>
      </c>
      <c r="AL105" s="13">
        <f>200-Q30*100</f>
        <v>174.82613529007804</v>
      </c>
      <c r="AM105">
        <f>200-Q32*100</f>
        <v>125.17386470992196</v>
      </c>
      <c r="AO105">
        <f t="shared" si="15"/>
        <v>101</v>
      </c>
      <c r="AP105">
        <v>100</v>
      </c>
      <c r="AQ105" s="13">
        <f>200-Q11*100</f>
        <v>175.45132063535101</v>
      </c>
      <c r="AR105">
        <f>200-Q13*100</f>
        <v>124.548679364649</v>
      </c>
    </row>
  </sheetData>
  <pageMargins left="0.7" right="0.7" top="0.75" bottom="0.75" header="0.3" footer="0.3"/>
  <pageSetup paperSize="9" orientation="portrait" verticalDpi="300" r:id="rId1"/>
  <drawing r:id="rId2"/>
  <webPublishItems count="1">
    <webPublishItem id="5952" divId="Project Zero Dashboard 1_5952" sourceType="sheet" destinationFile="C:\Users\Latitude5510\OneDrive - Tractoroutdoor\Documents\BMT\GitHub\Solar Dashboard\Solar-Dashboard\Project Zero Dashboard 1.mht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D9D63-8C4C-422A-B7FC-64D381F078C0}">
  <dimension ref="A1:AF59"/>
  <sheetViews>
    <sheetView zoomScale="85" zoomScaleNormal="85" workbookViewId="0">
      <pane xSplit="1" topLeftCell="B1" activePane="topRight" state="frozen"/>
      <selection pane="topRight" activeCell="C2" sqref="C2:C55"/>
    </sheetView>
  </sheetViews>
  <sheetFormatPr defaultColWidth="8.7109375" defaultRowHeight="15" x14ac:dyDescent="0.25"/>
  <cols>
    <col min="1" max="1" width="12.85546875" style="21" customWidth="1"/>
    <col min="2" max="16384" width="8.7109375" style="13"/>
  </cols>
  <sheetData>
    <row r="1" spans="1:32" s="21" customFormat="1" x14ac:dyDescent="0.25">
      <c r="A1" s="21" t="s">
        <v>73</v>
      </c>
      <c r="B1" s="21">
        <v>1</v>
      </c>
      <c r="C1" s="21">
        <v>2</v>
      </c>
      <c r="D1" s="21">
        <v>3</v>
      </c>
      <c r="E1" s="21">
        <v>4</v>
      </c>
      <c r="F1" s="21">
        <v>5</v>
      </c>
      <c r="G1" s="21">
        <v>6</v>
      </c>
      <c r="H1" s="21">
        <v>7</v>
      </c>
      <c r="I1" s="21">
        <v>8</v>
      </c>
      <c r="J1" s="21">
        <v>9</v>
      </c>
      <c r="K1" s="21">
        <v>10</v>
      </c>
      <c r="L1" s="21">
        <v>11</v>
      </c>
      <c r="M1" s="21">
        <v>12</v>
      </c>
      <c r="N1" s="21">
        <v>13</v>
      </c>
      <c r="O1" s="21">
        <v>14</v>
      </c>
      <c r="P1" s="21">
        <v>15</v>
      </c>
      <c r="Q1" s="21">
        <v>16</v>
      </c>
      <c r="R1" s="21">
        <v>17</v>
      </c>
      <c r="S1" s="21">
        <v>18</v>
      </c>
      <c r="T1" s="21">
        <v>19</v>
      </c>
      <c r="U1" s="21">
        <v>20</v>
      </c>
      <c r="V1" s="21">
        <v>21</v>
      </c>
      <c r="W1" s="21">
        <v>22</v>
      </c>
      <c r="X1" s="21">
        <v>23</v>
      </c>
      <c r="Y1" s="21">
        <v>24</v>
      </c>
      <c r="Z1" s="21">
        <v>25</v>
      </c>
      <c r="AA1" s="21">
        <v>26</v>
      </c>
      <c r="AB1" s="21">
        <v>27</v>
      </c>
      <c r="AC1" s="21">
        <v>28</v>
      </c>
      <c r="AD1" s="21">
        <v>29</v>
      </c>
      <c r="AE1" s="21">
        <v>30</v>
      </c>
      <c r="AF1" s="21">
        <v>31</v>
      </c>
    </row>
    <row r="2" spans="1:32" x14ac:dyDescent="0.25">
      <c r="A2" s="21" t="s">
        <v>9</v>
      </c>
      <c r="B2" s="14">
        <v>0</v>
      </c>
      <c r="C2" s="14">
        <v>0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</row>
    <row r="3" spans="1:32" ht="17.25" x14ac:dyDescent="0.3">
      <c r="A3" s="21" t="s">
        <v>11</v>
      </c>
      <c r="B3" s="14">
        <v>0</v>
      </c>
      <c r="C3" s="14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31"/>
      <c r="AE3" s="33"/>
    </row>
    <row r="4" spans="1:32" x14ac:dyDescent="0.25">
      <c r="A4" s="21" t="s">
        <v>13</v>
      </c>
      <c r="B4" s="14">
        <v>0</v>
      </c>
      <c r="C4" s="14">
        <v>0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</row>
    <row r="5" spans="1:32" x14ac:dyDescent="0.25">
      <c r="A5" s="21" t="s">
        <v>14</v>
      </c>
      <c r="B5" s="14">
        <v>0</v>
      </c>
      <c r="C5" s="14">
        <v>0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</row>
    <row r="6" spans="1:32" x14ac:dyDescent="0.25">
      <c r="A6" s="21" t="s">
        <v>16</v>
      </c>
      <c r="B6" s="14">
        <v>0</v>
      </c>
      <c r="C6" s="14">
        <v>0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</row>
    <row r="7" spans="1:32" x14ac:dyDescent="0.25">
      <c r="A7" s="21" t="s">
        <v>17</v>
      </c>
      <c r="B7" s="14">
        <v>0</v>
      </c>
      <c r="C7" s="14">
        <v>0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</row>
    <row r="8" spans="1:32" x14ac:dyDescent="0.25">
      <c r="A8" s="21" t="s">
        <v>19</v>
      </c>
      <c r="B8" s="13">
        <v>50</v>
      </c>
      <c r="C8" s="13">
        <v>50</v>
      </c>
    </row>
    <row r="9" spans="1:32" x14ac:dyDescent="0.25">
      <c r="A9" s="21" t="s">
        <v>20</v>
      </c>
      <c r="B9" s="13">
        <v>0</v>
      </c>
      <c r="C9" s="13">
        <v>0</v>
      </c>
    </row>
    <row r="10" spans="1:32" x14ac:dyDescent="0.25">
      <c r="A10" s="21" t="s">
        <v>21</v>
      </c>
      <c r="B10" s="13">
        <v>0</v>
      </c>
      <c r="C10" s="13">
        <v>0</v>
      </c>
    </row>
    <row r="11" spans="1:32" x14ac:dyDescent="0.25">
      <c r="A11" s="21" t="s">
        <v>22</v>
      </c>
      <c r="B11" s="13">
        <v>80</v>
      </c>
      <c r="C11" s="13">
        <v>80</v>
      </c>
    </row>
    <row r="12" spans="1:32" x14ac:dyDescent="0.25">
      <c r="A12" s="21" t="s">
        <v>23</v>
      </c>
      <c r="B12" s="13">
        <v>0</v>
      </c>
      <c r="C12" s="13">
        <v>0</v>
      </c>
    </row>
    <row r="13" spans="1:32" x14ac:dyDescent="0.25">
      <c r="A13" s="21" t="s">
        <v>24</v>
      </c>
      <c r="B13" s="13">
        <v>0</v>
      </c>
      <c r="C13" s="13">
        <v>0</v>
      </c>
    </row>
    <row r="14" spans="1:32" x14ac:dyDescent="0.25">
      <c r="A14" s="21" t="s">
        <v>25</v>
      </c>
      <c r="B14" s="13">
        <v>0</v>
      </c>
      <c r="C14" s="13">
        <v>0</v>
      </c>
    </row>
    <row r="15" spans="1:32" x14ac:dyDescent="0.25">
      <c r="A15" s="21" t="s">
        <v>26</v>
      </c>
      <c r="B15" s="13">
        <v>10</v>
      </c>
      <c r="C15" s="13">
        <v>10</v>
      </c>
    </row>
    <row r="16" spans="1:32" x14ac:dyDescent="0.25">
      <c r="A16" s="21" t="s">
        <v>27</v>
      </c>
      <c r="B16" s="13">
        <v>0</v>
      </c>
      <c r="C16" s="13">
        <v>0</v>
      </c>
    </row>
    <row r="17" spans="1:29" x14ac:dyDescent="0.25">
      <c r="A17" s="21" t="s">
        <v>28</v>
      </c>
      <c r="B17" s="32">
        <v>121.1</v>
      </c>
      <c r="C17" s="32">
        <v>108.6</v>
      </c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</row>
    <row r="18" spans="1:29" x14ac:dyDescent="0.25">
      <c r="A18" s="21" t="s">
        <v>29</v>
      </c>
      <c r="B18" s="13">
        <v>0</v>
      </c>
      <c r="C18" s="13">
        <v>0</v>
      </c>
    </row>
    <row r="19" spans="1:29" x14ac:dyDescent="0.25">
      <c r="A19" s="21" t="s">
        <v>30</v>
      </c>
      <c r="B19" s="13">
        <v>34</v>
      </c>
      <c r="C19" s="13">
        <v>34</v>
      </c>
    </row>
    <row r="20" spans="1:29" x14ac:dyDescent="0.25">
      <c r="A20" s="21" t="s">
        <v>31</v>
      </c>
      <c r="B20" s="13">
        <v>0</v>
      </c>
      <c r="C20" s="13">
        <v>0</v>
      </c>
    </row>
    <row r="21" spans="1:29" x14ac:dyDescent="0.25">
      <c r="A21" s="21" t="s">
        <v>32</v>
      </c>
      <c r="B21" s="13">
        <v>0</v>
      </c>
      <c r="C21" s="13">
        <v>0</v>
      </c>
    </row>
    <row r="22" spans="1:29" x14ac:dyDescent="0.25">
      <c r="A22" s="21" t="s">
        <v>33</v>
      </c>
      <c r="B22" s="13">
        <v>0</v>
      </c>
      <c r="C22" s="13">
        <v>0</v>
      </c>
    </row>
    <row r="23" spans="1:29" x14ac:dyDescent="0.25">
      <c r="A23" s="21" t="s">
        <v>34</v>
      </c>
      <c r="B23" s="13">
        <v>0</v>
      </c>
      <c r="C23" s="13">
        <v>0</v>
      </c>
    </row>
    <row r="24" spans="1:29" x14ac:dyDescent="0.25">
      <c r="A24" s="21" t="s">
        <v>35</v>
      </c>
      <c r="B24" s="32">
        <v>46.2</v>
      </c>
      <c r="C24" s="32">
        <v>42.5</v>
      </c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</row>
    <row r="25" spans="1:29" x14ac:dyDescent="0.25">
      <c r="A25" s="21" t="s">
        <v>36</v>
      </c>
      <c r="B25" s="13">
        <v>0</v>
      </c>
      <c r="C25" s="13">
        <v>0</v>
      </c>
    </row>
    <row r="26" spans="1:29" x14ac:dyDescent="0.25">
      <c r="A26" s="21" t="s">
        <v>37</v>
      </c>
      <c r="B26" s="32">
        <v>60.8</v>
      </c>
      <c r="C26" s="32">
        <v>90.8</v>
      </c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</row>
    <row r="27" spans="1:29" x14ac:dyDescent="0.25">
      <c r="A27" s="21" t="s">
        <v>38</v>
      </c>
      <c r="B27" s="13">
        <v>0</v>
      </c>
      <c r="C27" s="13">
        <v>0</v>
      </c>
    </row>
    <row r="28" spans="1:29" x14ac:dyDescent="0.25">
      <c r="A28" s="21" t="s">
        <v>39</v>
      </c>
      <c r="B28" s="13">
        <v>0</v>
      </c>
      <c r="C28" s="13">
        <v>0</v>
      </c>
    </row>
    <row r="29" spans="1:29" x14ac:dyDescent="0.25">
      <c r="A29" s="21" t="s">
        <v>40</v>
      </c>
      <c r="B29" s="31">
        <v>10</v>
      </c>
      <c r="C29" s="31">
        <v>10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</row>
    <row r="30" spans="1:29" ht="17.25" x14ac:dyDescent="0.3">
      <c r="A30" s="21" t="s">
        <v>41</v>
      </c>
      <c r="B30" s="33">
        <v>48</v>
      </c>
      <c r="C30" s="33">
        <v>36</v>
      </c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</row>
    <row r="31" spans="1:29" x14ac:dyDescent="0.25">
      <c r="A31" s="21" t="s">
        <v>42</v>
      </c>
      <c r="B31" s="13">
        <v>42</v>
      </c>
      <c r="C31" s="13">
        <v>35</v>
      </c>
    </row>
    <row r="32" spans="1:29" x14ac:dyDescent="0.25">
      <c r="A32" s="21" t="s">
        <v>43</v>
      </c>
      <c r="B32" s="13">
        <v>0</v>
      </c>
      <c r="C32" s="13">
        <v>0</v>
      </c>
    </row>
    <row r="33" spans="1:3" x14ac:dyDescent="0.25">
      <c r="A33" s="21" t="s">
        <v>44</v>
      </c>
      <c r="B33" s="13">
        <v>30</v>
      </c>
      <c r="C33" s="13">
        <v>30</v>
      </c>
    </row>
    <row r="34" spans="1:3" x14ac:dyDescent="0.25">
      <c r="A34" s="21" t="s">
        <v>45</v>
      </c>
      <c r="B34" s="13">
        <v>0</v>
      </c>
      <c r="C34" s="13">
        <v>0</v>
      </c>
    </row>
    <row r="35" spans="1:3" x14ac:dyDescent="0.25">
      <c r="A35" s="21" t="s">
        <v>46</v>
      </c>
      <c r="B35" s="13">
        <v>0</v>
      </c>
      <c r="C35" s="13">
        <v>0</v>
      </c>
    </row>
    <row r="36" spans="1:3" x14ac:dyDescent="0.25">
      <c r="A36" s="21" t="s">
        <v>47</v>
      </c>
      <c r="B36" s="13">
        <v>0</v>
      </c>
      <c r="C36" s="13">
        <v>0</v>
      </c>
    </row>
    <row r="37" spans="1:3" x14ac:dyDescent="0.25">
      <c r="A37" s="21" t="s">
        <v>48</v>
      </c>
      <c r="B37" s="13">
        <v>2</v>
      </c>
      <c r="C37" s="13">
        <v>2</v>
      </c>
    </row>
    <row r="38" spans="1:3" x14ac:dyDescent="0.25">
      <c r="A38" s="21" t="s">
        <v>49</v>
      </c>
      <c r="B38" s="13">
        <v>32</v>
      </c>
      <c r="C38" s="13">
        <v>32</v>
      </c>
    </row>
    <row r="39" spans="1:3" x14ac:dyDescent="0.25">
      <c r="A39" s="21" t="s">
        <v>50</v>
      </c>
      <c r="B39" s="13">
        <v>0</v>
      </c>
      <c r="C39" s="13">
        <v>0</v>
      </c>
    </row>
    <row r="40" spans="1:3" x14ac:dyDescent="0.25">
      <c r="A40" s="21" t="s">
        <v>51</v>
      </c>
      <c r="B40" s="13">
        <v>0</v>
      </c>
      <c r="C40" s="13">
        <v>0</v>
      </c>
    </row>
    <row r="41" spans="1:3" x14ac:dyDescent="0.25">
      <c r="A41" s="21" t="s">
        <v>52</v>
      </c>
      <c r="B41" s="13">
        <v>0</v>
      </c>
      <c r="C41" s="13">
        <v>0</v>
      </c>
    </row>
    <row r="42" spans="1:3" x14ac:dyDescent="0.25">
      <c r="A42" s="21" t="s">
        <v>53</v>
      </c>
      <c r="B42" s="13">
        <v>0</v>
      </c>
      <c r="C42" s="13">
        <v>0</v>
      </c>
    </row>
    <row r="43" spans="1:3" x14ac:dyDescent="0.25">
      <c r="A43" s="21" t="s">
        <v>54</v>
      </c>
    </row>
    <row r="44" spans="1:3" x14ac:dyDescent="0.25">
      <c r="A44" s="21" t="s">
        <v>55</v>
      </c>
      <c r="B44" s="13">
        <v>0</v>
      </c>
      <c r="C44" s="13">
        <v>0</v>
      </c>
    </row>
    <row r="45" spans="1:3" x14ac:dyDescent="0.25">
      <c r="A45" s="21" t="s">
        <v>56</v>
      </c>
      <c r="B45" s="13">
        <v>0</v>
      </c>
      <c r="C45" s="13">
        <v>0</v>
      </c>
    </row>
    <row r="46" spans="1:3" x14ac:dyDescent="0.25">
      <c r="A46" s="21" t="s">
        <v>57</v>
      </c>
      <c r="B46" s="13">
        <v>0</v>
      </c>
      <c r="C46" s="13">
        <v>0</v>
      </c>
    </row>
    <row r="47" spans="1:3" x14ac:dyDescent="0.25">
      <c r="A47" s="21" t="s">
        <v>58</v>
      </c>
      <c r="B47" s="13">
        <v>0</v>
      </c>
      <c r="C47" s="13">
        <v>0</v>
      </c>
    </row>
    <row r="48" spans="1:3" x14ac:dyDescent="0.25">
      <c r="A48" s="21" t="s">
        <v>59</v>
      </c>
      <c r="B48" s="13">
        <v>0</v>
      </c>
      <c r="C48" s="13">
        <v>0</v>
      </c>
    </row>
    <row r="49" spans="1:32" x14ac:dyDescent="0.25">
      <c r="A49" s="21" t="s">
        <v>60</v>
      </c>
      <c r="B49" s="13">
        <v>0</v>
      </c>
      <c r="C49" s="13">
        <v>0</v>
      </c>
    </row>
    <row r="50" spans="1:32" x14ac:dyDescent="0.25">
      <c r="A50" s="21" t="s">
        <v>61</v>
      </c>
      <c r="B50" s="13">
        <v>41</v>
      </c>
      <c r="C50" s="13">
        <v>41</v>
      </c>
    </row>
    <row r="51" spans="1:32" x14ac:dyDescent="0.25">
      <c r="A51" s="21" t="s">
        <v>62</v>
      </c>
      <c r="B51" s="13">
        <v>0</v>
      </c>
      <c r="C51" s="13">
        <v>0</v>
      </c>
    </row>
    <row r="52" spans="1:32" x14ac:dyDescent="0.25">
      <c r="A52" s="21" t="s">
        <v>63</v>
      </c>
      <c r="B52" s="13">
        <v>0</v>
      </c>
      <c r="C52" s="13">
        <v>0</v>
      </c>
    </row>
    <row r="53" spans="1:32" x14ac:dyDescent="0.25">
      <c r="A53" s="21" t="s">
        <v>64</v>
      </c>
      <c r="B53" s="13">
        <v>0</v>
      </c>
      <c r="C53" s="13">
        <v>0</v>
      </c>
    </row>
    <row r="54" spans="1:32" x14ac:dyDescent="0.25">
      <c r="A54" s="21" t="s">
        <v>65</v>
      </c>
      <c r="B54" s="13">
        <v>0</v>
      </c>
      <c r="C54" s="13">
        <v>0</v>
      </c>
    </row>
    <row r="55" spans="1:32" x14ac:dyDescent="0.25">
      <c r="A55" s="21" t="s">
        <v>71</v>
      </c>
      <c r="B55" s="13">
        <v>59</v>
      </c>
      <c r="C55" s="13">
        <v>59</v>
      </c>
    </row>
    <row r="57" spans="1:32" x14ac:dyDescent="0.25">
      <c r="A57" s="21" t="s">
        <v>74</v>
      </c>
      <c r="B57" s="13">
        <f>SUM(B2:B55)</f>
        <v>666.1</v>
      </c>
      <c r="C57" s="13">
        <f t="shared" ref="C57:AF57" si="0">SUM(C2:C55)</f>
        <v>660.90000000000009</v>
      </c>
      <c r="D57" s="13">
        <f t="shared" si="0"/>
        <v>0</v>
      </c>
      <c r="E57" s="13">
        <f t="shared" si="0"/>
        <v>0</v>
      </c>
      <c r="F57" s="13">
        <f t="shared" si="0"/>
        <v>0</v>
      </c>
      <c r="G57" s="13">
        <f t="shared" si="0"/>
        <v>0</v>
      </c>
      <c r="H57" s="13">
        <f t="shared" si="0"/>
        <v>0</v>
      </c>
      <c r="I57" s="13">
        <f t="shared" si="0"/>
        <v>0</v>
      </c>
      <c r="J57" s="13">
        <f t="shared" si="0"/>
        <v>0</v>
      </c>
      <c r="K57" s="13">
        <f t="shared" si="0"/>
        <v>0</v>
      </c>
      <c r="L57" s="13">
        <f t="shared" si="0"/>
        <v>0</v>
      </c>
      <c r="M57" s="13">
        <f t="shared" si="0"/>
        <v>0</v>
      </c>
      <c r="N57" s="13">
        <f t="shared" si="0"/>
        <v>0</v>
      </c>
      <c r="O57" s="13">
        <f t="shared" si="0"/>
        <v>0</v>
      </c>
      <c r="P57" s="13">
        <f t="shared" si="0"/>
        <v>0</v>
      </c>
      <c r="Q57" s="13">
        <f t="shared" si="0"/>
        <v>0</v>
      </c>
      <c r="R57" s="13">
        <f t="shared" si="0"/>
        <v>0</v>
      </c>
      <c r="S57" s="13">
        <f t="shared" si="0"/>
        <v>0</v>
      </c>
      <c r="T57" s="13">
        <f t="shared" si="0"/>
        <v>0</v>
      </c>
      <c r="U57" s="13">
        <f t="shared" si="0"/>
        <v>0</v>
      </c>
      <c r="V57" s="13">
        <f t="shared" si="0"/>
        <v>0</v>
      </c>
      <c r="W57" s="13">
        <f t="shared" si="0"/>
        <v>0</v>
      </c>
      <c r="X57" s="13">
        <f t="shared" si="0"/>
        <v>0</v>
      </c>
      <c r="Y57" s="13">
        <f t="shared" si="0"/>
        <v>0</v>
      </c>
      <c r="Z57" s="13">
        <f t="shared" si="0"/>
        <v>0</v>
      </c>
      <c r="AA57" s="13">
        <f t="shared" si="0"/>
        <v>0</v>
      </c>
      <c r="AB57" s="13">
        <f t="shared" si="0"/>
        <v>0</v>
      </c>
      <c r="AC57" s="13">
        <f t="shared" si="0"/>
        <v>0</v>
      </c>
      <c r="AD57" s="13">
        <f t="shared" si="0"/>
        <v>0</v>
      </c>
      <c r="AE57" s="13">
        <f t="shared" si="0"/>
        <v>0</v>
      </c>
      <c r="AF57" s="13">
        <f t="shared" si="0"/>
        <v>0</v>
      </c>
    </row>
    <row r="59" spans="1:32" x14ac:dyDescent="0.25">
      <c r="A59" s="21" t="s">
        <v>75</v>
      </c>
      <c r="B59" s="13">
        <f>SUM(A57:AF57)</f>
        <v>1327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D944B-24D5-47CB-8E5A-0894B2237A94}">
  <dimension ref="A1:BC59"/>
  <sheetViews>
    <sheetView zoomScale="85" zoomScaleNormal="85" workbookViewId="0">
      <pane xSplit="1" topLeftCell="B1" activePane="topRight" state="frozen"/>
      <selection pane="topRight" activeCell="C2" sqref="C2:C55"/>
    </sheetView>
  </sheetViews>
  <sheetFormatPr defaultRowHeight="15" x14ac:dyDescent="0.25"/>
  <cols>
    <col min="1" max="1" width="12.85546875" style="5" customWidth="1"/>
  </cols>
  <sheetData>
    <row r="1" spans="1:55" s="5" customFormat="1" x14ac:dyDescent="0.25">
      <c r="A1" s="5" t="s">
        <v>73</v>
      </c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  <c r="N1" s="5">
        <v>13</v>
      </c>
      <c r="O1" s="5">
        <v>14</v>
      </c>
      <c r="P1" s="5">
        <v>15</v>
      </c>
      <c r="Q1" s="5">
        <v>16</v>
      </c>
      <c r="R1" s="5">
        <v>17</v>
      </c>
      <c r="S1" s="5">
        <v>18</v>
      </c>
      <c r="T1" s="5">
        <v>19</v>
      </c>
      <c r="U1" s="5">
        <v>20</v>
      </c>
      <c r="V1" s="5">
        <v>21</v>
      </c>
      <c r="W1" s="5">
        <v>22</v>
      </c>
      <c r="X1" s="5">
        <v>23</v>
      </c>
      <c r="Y1" s="5">
        <v>24</v>
      </c>
      <c r="Z1" s="5">
        <v>25</v>
      </c>
      <c r="AA1" s="5">
        <v>26</v>
      </c>
      <c r="AB1" s="5">
        <v>27</v>
      </c>
      <c r="AC1" s="5">
        <v>28</v>
      </c>
      <c r="AD1" s="5">
        <v>29</v>
      </c>
      <c r="AE1" s="5">
        <v>30</v>
      </c>
      <c r="AF1" s="5">
        <v>31</v>
      </c>
    </row>
    <row r="2" spans="1:55" x14ac:dyDescent="0.25">
      <c r="A2" s="5" t="s">
        <v>9</v>
      </c>
      <c r="B2" s="14">
        <v>66</v>
      </c>
      <c r="C2" s="14">
        <v>66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spans="1:55" x14ac:dyDescent="0.25">
      <c r="A3" s="5" t="s">
        <v>11</v>
      </c>
      <c r="B3" s="14">
        <v>0</v>
      </c>
      <c r="C3" s="14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3"/>
      <c r="AH3" s="13"/>
      <c r="AI3" s="13"/>
      <c r="AJ3" s="13"/>
      <c r="AK3" s="13"/>
      <c r="AL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</row>
    <row r="4" spans="1:55" x14ac:dyDescent="0.25">
      <c r="A4" s="5" t="s">
        <v>13</v>
      </c>
      <c r="B4" s="14">
        <v>30</v>
      </c>
      <c r="C4" s="14">
        <v>30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</row>
    <row r="5" spans="1:55" x14ac:dyDescent="0.25">
      <c r="A5" s="5" t="s">
        <v>14</v>
      </c>
      <c r="B5" s="14">
        <v>68</v>
      </c>
      <c r="C5" s="14">
        <v>68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</row>
    <row r="6" spans="1:55" x14ac:dyDescent="0.25">
      <c r="A6" s="5" t="s">
        <v>16</v>
      </c>
      <c r="B6" s="14">
        <v>61</v>
      </c>
      <c r="C6" s="14">
        <v>61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</row>
    <row r="7" spans="1:55" x14ac:dyDescent="0.25">
      <c r="A7" s="5" t="s">
        <v>17</v>
      </c>
      <c r="B7" s="14">
        <v>0</v>
      </c>
      <c r="C7" s="14">
        <v>0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</row>
    <row r="8" spans="1:55" x14ac:dyDescent="0.25">
      <c r="A8" s="5" t="s">
        <v>19</v>
      </c>
      <c r="B8">
        <v>38</v>
      </c>
      <c r="C8">
        <v>38</v>
      </c>
    </row>
    <row r="9" spans="1:55" x14ac:dyDescent="0.25">
      <c r="A9" s="5" t="s">
        <v>20</v>
      </c>
      <c r="B9" s="14">
        <v>46</v>
      </c>
      <c r="C9" s="14">
        <v>46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</row>
    <row r="10" spans="1:55" x14ac:dyDescent="0.25">
      <c r="A10" s="5" t="s">
        <v>21</v>
      </c>
      <c r="B10" s="14">
        <v>147</v>
      </c>
      <c r="C10" s="14">
        <v>147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</row>
    <row r="11" spans="1:55" x14ac:dyDescent="0.25">
      <c r="A11" s="5" t="s">
        <v>22</v>
      </c>
      <c r="B11" s="14">
        <v>30</v>
      </c>
      <c r="C11" s="14">
        <v>30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</row>
    <row r="12" spans="1:55" x14ac:dyDescent="0.25">
      <c r="A12" s="5" t="s">
        <v>23</v>
      </c>
      <c r="B12" s="14">
        <v>102</v>
      </c>
      <c r="C12" s="14">
        <v>102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</row>
    <row r="13" spans="1:55" x14ac:dyDescent="0.25">
      <c r="A13" s="5" t="s">
        <v>24</v>
      </c>
      <c r="B13" s="14">
        <v>54</v>
      </c>
      <c r="C13" s="14">
        <v>54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</row>
    <row r="14" spans="1:55" x14ac:dyDescent="0.25">
      <c r="A14" s="5" t="s">
        <v>25</v>
      </c>
      <c r="B14" s="14">
        <v>172</v>
      </c>
      <c r="C14" s="14">
        <v>172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</row>
    <row r="15" spans="1:55" x14ac:dyDescent="0.25">
      <c r="A15" s="5" t="s">
        <v>26</v>
      </c>
      <c r="B15" s="14">
        <v>50</v>
      </c>
      <c r="C15" s="14">
        <v>50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</row>
    <row r="16" spans="1:55" x14ac:dyDescent="0.25">
      <c r="A16" s="5" t="s">
        <v>27</v>
      </c>
      <c r="B16">
        <v>58</v>
      </c>
      <c r="C16">
        <v>58</v>
      </c>
    </row>
    <row r="17" spans="1:32" x14ac:dyDescent="0.25">
      <c r="A17" s="5" t="s">
        <v>28</v>
      </c>
      <c r="B17">
        <v>104</v>
      </c>
      <c r="C17">
        <v>104</v>
      </c>
    </row>
    <row r="18" spans="1:32" x14ac:dyDescent="0.25">
      <c r="A18" s="5" t="s">
        <v>29</v>
      </c>
      <c r="B18" s="14">
        <v>0</v>
      </c>
      <c r="C18" s="14">
        <v>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</row>
    <row r="19" spans="1:32" x14ac:dyDescent="0.25">
      <c r="A19" s="5" t="s">
        <v>30</v>
      </c>
      <c r="B19" s="14">
        <v>51</v>
      </c>
      <c r="C19" s="14">
        <v>51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</row>
    <row r="20" spans="1:32" x14ac:dyDescent="0.25">
      <c r="A20" s="5" t="s">
        <v>31</v>
      </c>
      <c r="B20" s="14">
        <v>45</v>
      </c>
      <c r="C20" s="14">
        <v>45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</row>
    <row r="21" spans="1:32" x14ac:dyDescent="0.25">
      <c r="A21" s="5" t="s">
        <v>32</v>
      </c>
      <c r="B21" s="14">
        <v>55</v>
      </c>
      <c r="C21" s="14">
        <v>55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</row>
    <row r="22" spans="1:32" x14ac:dyDescent="0.25">
      <c r="A22" s="5" t="s">
        <v>33</v>
      </c>
      <c r="B22">
        <v>95</v>
      </c>
      <c r="C22">
        <v>95</v>
      </c>
    </row>
    <row r="23" spans="1:32" x14ac:dyDescent="0.25">
      <c r="A23" s="5" t="s">
        <v>34</v>
      </c>
      <c r="B23" s="14">
        <v>0</v>
      </c>
      <c r="C23" s="14">
        <v>0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</row>
    <row r="24" spans="1:32" x14ac:dyDescent="0.25">
      <c r="A24" s="5" t="s">
        <v>35</v>
      </c>
      <c r="B24">
        <v>56</v>
      </c>
      <c r="C24">
        <v>56</v>
      </c>
    </row>
    <row r="25" spans="1:32" x14ac:dyDescent="0.25">
      <c r="A25" s="5" t="s">
        <v>36</v>
      </c>
      <c r="B25" s="14">
        <v>50</v>
      </c>
      <c r="C25" s="14">
        <v>50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</row>
    <row r="26" spans="1:32" x14ac:dyDescent="0.25">
      <c r="A26" s="5" t="s">
        <v>37</v>
      </c>
      <c r="B26" s="34">
        <v>63.05</v>
      </c>
      <c r="C26" s="34">
        <v>63.05</v>
      </c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</row>
    <row r="27" spans="1:32" x14ac:dyDescent="0.25">
      <c r="A27" s="5" t="s">
        <v>38</v>
      </c>
      <c r="B27" s="34">
        <v>107.96</v>
      </c>
      <c r="C27" s="34">
        <v>114</v>
      </c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</row>
    <row r="28" spans="1:32" x14ac:dyDescent="0.25">
      <c r="A28" s="5" t="s">
        <v>39</v>
      </c>
      <c r="B28" s="14">
        <v>0</v>
      </c>
      <c r="C28" s="14">
        <v>0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</row>
    <row r="29" spans="1:32" x14ac:dyDescent="0.25">
      <c r="A29" s="5" t="s">
        <v>40</v>
      </c>
      <c r="B29" s="34">
        <v>48.91</v>
      </c>
      <c r="C29" s="34">
        <v>48.91</v>
      </c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</row>
    <row r="30" spans="1:32" x14ac:dyDescent="0.25">
      <c r="A30" s="5" t="s">
        <v>41</v>
      </c>
      <c r="B30" s="14">
        <v>29</v>
      </c>
      <c r="C30" s="14">
        <v>29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</row>
    <row r="31" spans="1:32" x14ac:dyDescent="0.25">
      <c r="A31" s="5" t="s">
        <v>42</v>
      </c>
      <c r="B31" s="14">
        <v>92</v>
      </c>
      <c r="C31" s="14">
        <v>92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</row>
    <row r="32" spans="1:32" x14ac:dyDescent="0.25">
      <c r="A32" s="5" t="s">
        <v>43</v>
      </c>
      <c r="B32" s="14">
        <v>0</v>
      </c>
      <c r="C32" s="14">
        <v>0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</row>
    <row r="33" spans="1:32" x14ac:dyDescent="0.25">
      <c r="A33" s="5" t="s">
        <v>44</v>
      </c>
      <c r="B33" s="14">
        <v>0</v>
      </c>
      <c r="C33" s="14">
        <v>0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</row>
    <row r="34" spans="1:32" x14ac:dyDescent="0.25">
      <c r="A34" s="5" t="s">
        <v>45</v>
      </c>
      <c r="B34" s="34">
        <v>89.19</v>
      </c>
      <c r="C34" s="34">
        <v>89.19</v>
      </c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</row>
    <row r="35" spans="1:32" x14ac:dyDescent="0.25">
      <c r="A35" s="5" t="s">
        <v>46</v>
      </c>
      <c r="B35" s="34">
        <v>35.54</v>
      </c>
      <c r="C35" s="34">
        <v>35.54</v>
      </c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</row>
    <row r="36" spans="1:32" x14ac:dyDescent="0.25">
      <c r="A36" s="5" t="s">
        <v>47</v>
      </c>
      <c r="B36" s="14">
        <v>0</v>
      </c>
      <c r="C36" s="14">
        <v>0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</row>
    <row r="37" spans="1:32" x14ac:dyDescent="0.25">
      <c r="A37" s="5" t="s">
        <v>48</v>
      </c>
      <c r="B37" s="14">
        <v>0</v>
      </c>
      <c r="C37" s="14">
        <v>0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</row>
    <row r="38" spans="1:32" x14ac:dyDescent="0.25">
      <c r="A38" s="5" t="s">
        <v>49</v>
      </c>
      <c r="B38">
        <v>60</v>
      </c>
      <c r="C38">
        <v>60</v>
      </c>
    </row>
    <row r="39" spans="1:32" x14ac:dyDescent="0.25">
      <c r="A39" s="5" t="s">
        <v>50</v>
      </c>
      <c r="B39" s="14">
        <v>0</v>
      </c>
      <c r="C39" s="14">
        <v>0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</row>
    <row r="40" spans="1:32" x14ac:dyDescent="0.25">
      <c r="A40" s="5" t="s">
        <v>51</v>
      </c>
      <c r="B40" s="14">
        <v>0</v>
      </c>
      <c r="C40" s="14">
        <v>0</v>
      </c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</row>
    <row r="41" spans="1:32" x14ac:dyDescent="0.25">
      <c r="A41" s="5" t="s">
        <v>52</v>
      </c>
      <c r="B41" s="14">
        <v>40</v>
      </c>
      <c r="C41" s="14">
        <v>40</v>
      </c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</row>
    <row r="42" spans="1:32" x14ac:dyDescent="0.25">
      <c r="A42" s="5" t="s">
        <v>53</v>
      </c>
      <c r="B42" s="14">
        <v>0</v>
      </c>
      <c r="C42" s="14">
        <v>0</v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</row>
    <row r="43" spans="1:32" x14ac:dyDescent="0.25">
      <c r="A43" s="5" t="s">
        <v>54</v>
      </c>
      <c r="B43" s="14">
        <v>70</v>
      </c>
      <c r="C43" s="14">
        <v>70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</row>
    <row r="44" spans="1:32" x14ac:dyDescent="0.25">
      <c r="A44" s="5" t="s">
        <v>55</v>
      </c>
      <c r="B44" s="14">
        <v>0</v>
      </c>
      <c r="C44" s="14">
        <v>0</v>
      </c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</row>
    <row r="45" spans="1:32" x14ac:dyDescent="0.25">
      <c r="A45" s="5" t="s">
        <v>56</v>
      </c>
      <c r="B45" s="14">
        <v>0</v>
      </c>
      <c r="C45" s="14">
        <v>0</v>
      </c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</row>
    <row r="46" spans="1:32" x14ac:dyDescent="0.25">
      <c r="A46" s="5" t="s">
        <v>57</v>
      </c>
      <c r="B46" s="14">
        <v>80</v>
      </c>
      <c r="C46" s="14">
        <v>80</v>
      </c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</row>
    <row r="47" spans="1:32" x14ac:dyDescent="0.25">
      <c r="A47" s="5" t="s">
        <v>58</v>
      </c>
      <c r="B47" s="14">
        <v>0</v>
      </c>
      <c r="C47" s="14">
        <v>0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</row>
    <row r="48" spans="1:32" x14ac:dyDescent="0.25">
      <c r="A48" s="5" t="s">
        <v>59</v>
      </c>
      <c r="B48" s="14">
        <v>170</v>
      </c>
      <c r="C48" s="14">
        <v>170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</row>
    <row r="49" spans="1:32" x14ac:dyDescent="0.25">
      <c r="A49" s="5" t="s">
        <v>60</v>
      </c>
      <c r="B49" s="14">
        <v>30</v>
      </c>
      <c r="C49" s="14">
        <v>30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</row>
    <row r="50" spans="1:32" x14ac:dyDescent="0.25">
      <c r="A50" s="5" t="s">
        <v>61</v>
      </c>
      <c r="B50">
        <v>225</v>
      </c>
      <c r="C50">
        <v>225</v>
      </c>
    </row>
    <row r="51" spans="1:32" x14ac:dyDescent="0.25">
      <c r="A51" s="5" t="s">
        <v>62</v>
      </c>
      <c r="B51" s="14">
        <v>53</v>
      </c>
      <c r="C51" s="14">
        <v>53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</row>
    <row r="52" spans="1:32" x14ac:dyDescent="0.25">
      <c r="A52" s="5" t="s">
        <v>63</v>
      </c>
      <c r="B52" s="14">
        <v>0</v>
      </c>
      <c r="C52" s="14">
        <v>0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</row>
    <row r="53" spans="1:32" x14ac:dyDescent="0.25">
      <c r="A53" s="5" t="s">
        <v>64</v>
      </c>
      <c r="B53" s="14">
        <v>0</v>
      </c>
      <c r="C53" s="14">
        <v>0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</row>
    <row r="54" spans="1:32" x14ac:dyDescent="0.25">
      <c r="A54" s="5" t="s">
        <v>65</v>
      </c>
      <c r="B54" s="14">
        <v>0</v>
      </c>
      <c r="C54" s="14">
        <v>0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</row>
    <row r="55" spans="1:32" x14ac:dyDescent="0.25">
      <c r="A55" s="5" t="s">
        <v>71</v>
      </c>
      <c r="B55">
        <v>61</v>
      </c>
      <c r="C55">
        <v>61</v>
      </c>
    </row>
    <row r="57" spans="1:32" x14ac:dyDescent="0.25">
      <c r="A57" s="5" t="s">
        <v>74</v>
      </c>
      <c r="B57" s="13">
        <f>SUM(B2:B55)</f>
        <v>2632.65</v>
      </c>
      <c r="C57" s="13">
        <f t="shared" ref="C57:AF57" si="0">SUM(C2:C55)</f>
        <v>2638.69</v>
      </c>
      <c r="D57" s="13">
        <f t="shared" si="0"/>
        <v>0</v>
      </c>
      <c r="E57" s="13">
        <f t="shared" si="0"/>
        <v>0</v>
      </c>
      <c r="F57" s="13">
        <f t="shared" si="0"/>
        <v>0</v>
      </c>
      <c r="G57" s="13">
        <f t="shared" si="0"/>
        <v>0</v>
      </c>
      <c r="H57" s="13">
        <f t="shared" si="0"/>
        <v>0</v>
      </c>
      <c r="I57" s="13">
        <f t="shared" si="0"/>
        <v>0</v>
      </c>
      <c r="J57" s="13">
        <f t="shared" si="0"/>
        <v>0</v>
      </c>
      <c r="K57" s="13">
        <f t="shared" si="0"/>
        <v>0</v>
      </c>
      <c r="L57" s="13">
        <f t="shared" si="0"/>
        <v>0</v>
      </c>
      <c r="M57" s="13">
        <f t="shared" si="0"/>
        <v>0</v>
      </c>
      <c r="N57" s="13">
        <f t="shared" si="0"/>
        <v>0</v>
      </c>
      <c r="O57" s="13">
        <f t="shared" si="0"/>
        <v>0</v>
      </c>
      <c r="P57" s="13">
        <f t="shared" si="0"/>
        <v>0</v>
      </c>
      <c r="Q57" s="13">
        <f t="shared" si="0"/>
        <v>0</v>
      </c>
      <c r="R57" s="13">
        <f t="shared" si="0"/>
        <v>0</v>
      </c>
      <c r="S57" s="13">
        <f t="shared" si="0"/>
        <v>0</v>
      </c>
      <c r="T57" s="13">
        <f t="shared" si="0"/>
        <v>0</v>
      </c>
      <c r="U57" s="13">
        <f t="shared" si="0"/>
        <v>0</v>
      </c>
      <c r="V57" s="13">
        <f t="shared" si="0"/>
        <v>0</v>
      </c>
      <c r="W57" s="13">
        <f t="shared" si="0"/>
        <v>0</v>
      </c>
      <c r="X57" s="13">
        <f t="shared" si="0"/>
        <v>0</v>
      </c>
      <c r="Y57" s="13">
        <f t="shared" si="0"/>
        <v>0</v>
      </c>
      <c r="Z57" s="13">
        <f t="shared" si="0"/>
        <v>0</v>
      </c>
      <c r="AA57" s="13">
        <f t="shared" si="0"/>
        <v>0</v>
      </c>
      <c r="AB57" s="13">
        <f t="shared" si="0"/>
        <v>0</v>
      </c>
      <c r="AC57" s="13">
        <f t="shared" si="0"/>
        <v>0</v>
      </c>
      <c r="AD57" s="13">
        <f t="shared" si="0"/>
        <v>0</v>
      </c>
      <c r="AE57" s="13">
        <f t="shared" si="0"/>
        <v>0</v>
      </c>
      <c r="AF57" s="13">
        <f t="shared" si="0"/>
        <v>0</v>
      </c>
    </row>
    <row r="59" spans="1:32" x14ac:dyDescent="0.25">
      <c r="A59" s="5" t="s">
        <v>75</v>
      </c>
      <c r="B59">
        <f>SUM(A57:AF57)</f>
        <v>5271.34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Production By Date</vt:lpstr>
      <vt:lpstr>Consumption By Date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Harris</dc:creator>
  <cp:keywords/>
  <dc:description/>
  <cp:lastModifiedBy>Kevin Harris</cp:lastModifiedBy>
  <cp:revision/>
  <dcterms:created xsi:type="dcterms:W3CDTF">2025-10-23T11:40:10Z</dcterms:created>
  <dcterms:modified xsi:type="dcterms:W3CDTF">2026-06-02T23:02:04Z</dcterms:modified>
  <cp:category/>
  <cp:contentStatus/>
</cp:coreProperties>
</file>